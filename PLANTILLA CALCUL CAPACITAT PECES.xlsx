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mestampingsolutions-my.sharepoint.com/personal/dbernal_some_es/Documents/Escritorio/EINES PER OFERTA/"/>
    </mc:Choice>
  </mc:AlternateContent>
  <xr:revisionPtr revIDLastSave="628" documentId="13_ncr:1_{5BF2D24E-2CE0-43CB-97D7-8D7FD1EEF52D}" xr6:coauthVersionLast="47" xr6:coauthVersionMax="47" xr10:uidLastSave="{6D7BD373-4DAE-454C-8992-C6BE03953EF6}"/>
  <bookViews>
    <workbookView xWindow="-120" yWindow="-120" windowWidth="29040" windowHeight="15720" xr2:uid="{00000000-000D-0000-FFFF-FFFF00000000}"/>
  </bookViews>
  <sheets>
    <sheet name="CÀLCUL QUANTITATS VOLUM" sheetId="1" r:id="rId1"/>
    <sheet name="Recollida dades VAIOC" sheetId="4" r:id="rId2"/>
    <sheet name="PLANTILLA" sheetId="3" r:id="rId3"/>
    <sheet name="DADES VOLUMS" sheetId="2" r:id="rId4"/>
  </sheets>
  <definedNames>
    <definedName name="_xlnm._FilterDatabase" localSheetId="0" hidden="1">'CÀLCUL QUANTITATS VOLUM'!$A$10:$Q$82</definedName>
    <definedName name="_xlnm.Print_Area" localSheetId="1">'Recollida dades VAIOC'!$B$1:$G$39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1" l="1"/>
  <c r="K180" i="1"/>
  <c r="L180" i="1" s="1"/>
  <c r="M180" i="1" s="1"/>
  <c r="N180" i="1" s="1"/>
  <c r="O180" i="1" s="1"/>
  <c r="P180" i="1" s="1"/>
  <c r="K181" i="1"/>
  <c r="K176" i="1"/>
  <c r="L176" i="1" s="1"/>
  <c r="M176" i="1" s="1"/>
  <c r="H176" i="1"/>
  <c r="K177" i="1"/>
  <c r="H177" i="1"/>
  <c r="H175" i="1"/>
  <c r="K175" i="1" s="1"/>
  <c r="H174" i="1"/>
  <c r="K174" i="1" s="1"/>
  <c r="L174" i="1" s="1"/>
  <c r="M174" i="1" s="1"/>
  <c r="H180" i="1"/>
  <c r="H179" i="1"/>
  <c r="K179" i="1" s="1"/>
  <c r="H102" i="1"/>
  <c r="K102" i="1" s="1"/>
  <c r="L102" i="1" s="1"/>
  <c r="M102" i="1" s="1"/>
  <c r="H95" i="1"/>
  <c r="K95" i="1" s="1"/>
  <c r="L95" i="1" s="1"/>
  <c r="M95" i="1" s="1"/>
  <c r="N95" i="1" s="1"/>
  <c r="O95" i="1" s="1"/>
  <c r="P95" i="1" s="1"/>
  <c r="Q95" i="1" s="1"/>
  <c r="H173" i="1"/>
  <c r="K173" i="1" s="1"/>
  <c r="H172" i="1"/>
  <c r="K172" i="1" s="1"/>
  <c r="H178" i="1"/>
  <c r="K178" i="1" s="1"/>
  <c r="L178" i="1" s="1"/>
  <c r="M178" i="1" s="1"/>
  <c r="N178" i="1" s="1"/>
  <c r="O178" i="1" s="1"/>
  <c r="P178" i="1" s="1"/>
  <c r="H171" i="1"/>
  <c r="K171" i="1" s="1"/>
  <c r="L171" i="1" s="1"/>
  <c r="M171" i="1" s="1"/>
  <c r="N171" i="1" s="1"/>
  <c r="O171" i="1" s="1"/>
  <c r="P171" i="1" s="1"/>
  <c r="H167" i="1"/>
  <c r="K167" i="1" s="1"/>
  <c r="H166" i="1"/>
  <c r="K166" i="1" s="1"/>
  <c r="L166" i="1" s="1"/>
  <c r="M166" i="1" s="1"/>
  <c r="N166" i="1" s="1"/>
  <c r="O166" i="1" s="1"/>
  <c r="P166" i="1" s="1"/>
  <c r="H168" i="1"/>
  <c r="K168" i="1" s="1"/>
  <c r="H169" i="1"/>
  <c r="K169" i="1" s="1"/>
  <c r="H170" i="1"/>
  <c r="K170" i="1" s="1"/>
  <c r="L170" i="1" s="1"/>
  <c r="M170" i="1" s="1"/>
  <c r="H162" i="1"/>
  <c r="K162" i="1" s="1"/>
  <c r="L162" i="1" s="1"/>
  <c r="M162" i="1" s="1"/>
  <c r="N162" i="1" s="1"/>
  <c r="O162" i="1" s="1"/>
  <c r="P162" i="1" s="1"/>
  <c r="H163" i="1"/>
  <c r="K163" i="1" s="1"/>
  <c r="H164" i="1"/>
  <c r="K164" i="1" s="1"/>
  <c r="H165" i="1"/>
  <c r="K165" i="1" s="1"/>
  <c r="H160" i="1"/>
  <c r="K160" i="1" s="1"/>
  <c r="H161" i="1"/>
  <c r="K161" i="1" s="1"/>
  <c r="H159" i="1"/>
  <c r="K159" i="1" s="1"/>
  <c r="L159" i="1" s="1"/>
  <c r="M159" i="1" s="1"/>
  <c r="H158" i="1"/>
  <c r="K158" i="1" s="1"/>
  <c r="H94" i="1"/>
  <c r="K94" i="1" s="1"/>
  <c r="H157" i="1"/>
  <c r="K157" i="1" s="1"/>
  <c r="H156" i="1"/>
  <c r="K156" i="1" s="1"/>
  <c r="H155" i="1"/>
  <c r="K155" i="1" s="1"/>
  <c r="L155" i="1" s="1"/>
  <c r="M155" i="1" s="1"/>
  <c r="N155" i="1" s="1"/>
  <c r="O155" i="1" s="1"/>
  <c r="P155" i="1" s="1"/>
  <c r="H153" i="1"/>
  <c r="K153" i="1" s="1"/>
  <c r="L153" i="1" s="1"/>
  <c r="M153" i="1" s="1"/>
  <c r="H139" i="1"/>
  <c r="K139" i="1" s="1"/>
  <c r="H138" i="1"/>
  <c r="K138" i="1" s="1"/>
  <c r="H151" i="1"/>
  <c r="K151" i="1" s="1"/>
  <c r="L151" i="1" s="1"/>
  <c r="M151" i="1" s="1"/>
  <c r="N151" i="1" s="1"/>
  <c r="O151" i="1" s="1"/>
  <c r="P151" i="1" s="1"/>
  <c r="H152" i="1"/>
  <c r="K152" i="1" s="1"/>
  <c r="L152" i="1" s="1"/>
  <c r="M152" i="1" s="1"/>
  <c r="H85" i="1"/>
  <c r="K85" i="1" s="1"/>
  <c r="L85" i="1" s="1"/>
  <c r="M85" i="1" s="1"/>
  <c r="H154" i="1"/>
  <c r="K154" i="1" s="1"/>
  <c r="H148" i="1"/>
  <c r="K148" i="1" s="1"/>
  <c r="L148" i="1" s="1"/>
  <c r="M148" i="1" s="1"/>
  <c r="N148" i="1" s="1"/>
  <c r="O148" i="1" s="1"/>
  <c r="P148" i="1" s="1"/>
  <c r="H150" i="1"/>
  <c r="K150" i="1" s="1"/>
  <c r="L150" i="1" s="1"/>
  <c r="M150" i="1" s="1"/>
  <c r="N150" i="1" s="1"/>
  <c r="O150" i="1" s="1"/>
  <c r="P150" i="1" s="1"/>
  <c r="H149" i="1"/>
  <c r="K149" i="1"/>
  <c r="L149" i="1" s="1"/>
  <c r="M149" i="1" s="1"/>
  <c r="E30" i="2"/>
  <c r="H143" i="1"/>
  <c r="H147" i="1"/>
  <c r="H146" i="1"/>
  <c r="K146" i="1" s="1"/>
  <c r="L146" i="1" s="1"/>
  <c r="M146" i="1" s="1"/>
  <c r="N146" i="1" s="1"/>
  <c r="O146" i="1" s="1"/>
  <c r="P146" i="1" s="1"/>
  <c r="Q146" i="1" s="1"/>
  <c r="H145" i="1"/>
  <c r="K145" i="1"/>
  <c r="L145" i="1" s="1"/>
  <c r="M145" i="1" s="1"/>
  <c r="N145" i="1" s="1"/>
  <c r="O145" i="1" s="1"/>
  <c r="P145" i="1" s="1"/>
  <c r="Q145" i="1" s="1"/>
  <c r="H142" i="1"/>
  <c r="K142" i="1" s="1"/>
  <c r="H141" i="1"/>
  <c r="K141" i="1" s="1"/>
  <c r="H133" i="1"/>
  <c r="K133" i="1" s="1"/>
  <c r="H144" i="1"/>
  <c r="K144" i="1" s="1"/>
  <c r="H113" i="1"/>
  <c r="K113" i="1" s="1"/>
  <c r="H140" i="1"/>
  <c r="K140" i="1" s="1"/>
  <c r="L140" i="1" s="1"/>
  <c r="M140" i="1" s="1"/>
  <c r="N140" i="1" s="1"/>
  <c r="O140" i="1" s="1"/>
  <c r="P140" i="1" s="1"/>
  <c r="Q140" i="1" s="1"/>
  <c r="H132" i="1"/>
  <c r="K132" i="1" s="1"/>
  <c r="H130" i="1"/>
  <c r="K130" i="1" s="1"/>
  <c r="L130" i="1" s="1"/>
  <c r="M130" i="1" s="1"/>
  <c r="N130" i="1" s="1"/>
  <c r="O130" i="1" s="1"/>
  <c r="P130" i="1" s="1"/>
  <c r="Q130" i="1" s="1"/>
  <c r="H129" i="1"/>
  <c r="K129" i="1" s="1"/>
  <c r="H128" i="1"/>
  <c r="K128" i="1" s="1"/>
  <c r="L128" i="1" s="1"/>
  <c r="M128" i="1" s="1"/>
  <c r="N128" i="1" s="1"/>
  <c r="O128" i="1" s="1"/>
  <c r="P128" i="1" s="1"/>
  <c r="Q128" i="1" s="1"/>
  <c r="H137" i="1"/>
  <c r="K137" i="1" s="1"/>
  <c r="L137" i="1" s="1"/>
  <c r="M137" i="1" s="1"/>
  <c r="H136" i="1"/>
  <c r="K136" i="1" s="1"/>
  <c r="L136" i="1" s="1"/>
  <c r="M136" i="1" s="1"/>
  <c r="H135" i="1"/>
  <c r="K135" i="1" s="1"/>
  <c r="L135" i="1" s="1"/>
  <c r="M135" i="1" s="1"/>
  <c r="N135" i="1" s="1"/>
  <c r="O135" i="1" s="1"/>
  <c r="P135" i="1" s="1"/>
  <c r="Q135" i="1" s="1"/>
  <c r="H134" i="1"/>
  <c r="K134" i="1" s="1"/>
  <c r="H131" i="1"/>
  <c r="K131" i="1" s="1"/>
  <c r="H127" i="1"/>
  <c r="K127" i="1" s="1"/>
  <c r="H126" i="1"/>
  <c r="K126" i="1" s="1"/>
  <c r="L126" i="1" s="1"/>
  <c r="M126" i="1"/>
  <c r="N126" i="1" s="1"/>
  <c r="O126" i="1" s="1"/>
  <c r="P126" i="1" s="1"/>
  <c r="Q126" i="1" s="1"/>
  <c r="H125" i="1"/>
  <c r="K125" i="1" s="1"/>
  <c r="L125" i="1" s="1"/>
  <c r="M125" i="1" s="1"/>
  <c r="H98" i="1"/>
  <c r="K98" i="1" s="1"/>
  <c r="H97" i="1"/>
  <c r="K97" i="1" s="1"/>
  <c r="L97" i="1" s="1"/>
  <c r="M97" i="1" s="1"/>
  <c r="H96" i="1"/>
  <c r="K96" i="1" s="1"/>
  <c r="L96" i="1" s="1"/>
  <c r="M96" i="1" s="1"/>
  <c r="N96" i="1" s="1"/>
  <c r="O96" i="1" s="1"/>
  <c r="P96" i="1" s="1"/>
  <c r="Q96" i="1" s="1"/>
  <c r="H112" i="1"/>
  <c r="K112" i="1" s="1"/>
  <c r="L112" i="1" s="1"/>
  <c r="M112" i="1" s="1"/>
  <c r="H111" i="1"/>
  <c r="K111" i="1" s="1"/>
  <c r="L111" i="1" s="1"/>
  <c r="M111" i="1" s="1"/>
  <c r="N111" i="1" s="1"/>
  <c r="O111" i="1" s="1"/>
  <c r="P111" i="1" s="1"/>
  <c r="Q111" i="1" s="1"/>
  <c r="H121" i="1"/>
  <c r="K121" i="1" s="1"/>
  <c r="L121" i="1" s="1"/>
  <c r="M121" i="1" s="1"/>
  <c r="N121" i="1" s="1"/>
  <c r="O121" i="1" s="1"/>
  <c r="P121" i="1" s="1"/>
  <c r="Q121" i="1" s="1"/>
  <c r="Q79" i="1"/>
  <c r="Q80" i="1"/>
  <c r="Q83" i="1"/>
  <c r="Q84" i="1"/>
  <c r="Q88" i="1"/>
  <c r="Q90" i="1"/>
  <c r="Q92" i="1"/>
  <c r="H122" i="1"/>
  <c r="K122" i="1" s="1"/>
  <c r="H124" i="1"/>
  <c r="K124" i="1" s="1"/>
  <c r="L124" i="1" s="1"/>
  <c r="M124" i="1" s="1"/>
  <c r="N124" i="1" s="1"/>
  <c r="O124" i="1" s="1"/>
  <c r="P124" i="1" s="1"/>
  <c r="Q124" i="1" s="1"/>
  <c r="H123" i="1"/>
  <c r="K123" i="1" s="1"/>
  <c r="L123" i="1" s="1"/>
  <c r="M123" i="1" s="1"/>
  <c r="H120" i="1"/>
  <c r="K120" i="1" s="1"/>
  <c r="L120" i="1" s="1"/>
  <c r="M120" i="1" s="1"/>
  <c r="N120" i="1" s="1"/>
  <c r="O120" i="1" s="1"/>
  <c r="P120" i="1" s="1"/>
  <c r="Q120" i="1" s="1"/>
  <c r="H119" i="1"/>
  <c r="K119" i="1" s="1"/>
  <c r="L119" i="1" s="1"/>
  <c r="M119" i="1" s="1"/>
  <c r="N119" i="1" s="1"/>
  <c r="O119" i="1" s="1"/>
  <c r="P119" i="1" s="1"/>
  <c r="Q119" i="1" s="1"/>
  <c r="H118" i="1"/>
  <c r="K118" i="1" s="1"/>
  <c r="H117" i="1"/>
  <c r="K117" i="1" s="1"/>
  <c r="L117" i="1" s="1"/>
  <c r="M117" i="1" s="1"/>
  <c r="N117" i="1" s="1"/>
  <c r="O117" i="1" s="1"/>
  <c r="P117" i="1" s="1"/>
  <c r="Q117" i="1" s="1"/>
  <c r="H116" i="1"/>
  <c r="K116" i="1" s="1"/>
  <c r="L116" i="1" s="1"/>
  <c r="M116" i="1" s="1"/>
  <c r="N116" i="1" s="1"/>
  <c r="O116" i="1" s="1"/>
  <c r="P116" i="1" s="1"/>
  <c r="Q116" i="1" s="1"/>
  <c r="H115" i="1"/>
  <c r="K115" i="1" s="1"/>
  <c r="L115" i="1" s="1"/>
  <c r="M115" i="1" s="1"/>
  <c r="H114" i="1"/>
  <c r="K114" i="1" s="1"/>
  <c r="H110" i="1"/>
  <c r="K110" i="1" s="1"/>
  <c r="L110" i="1" s="1"/>
  <c r="M110" i="1" s="1"/>
  <c r="N110" i="1" s="1"/>
  <c r="O110" i="1" s="1"/>
  <c r="P110" i="1" s="1"/>
  <c r="Q110" i="1" s="1"/>
  <c r="H109" i="1"/>
  <c r="K109" i="1" s="1"/>
  <c r="L109" i="1" s="1"/>
  <c r="M109" i="1" s="1"/>
  <c r="H108" i="1"/>
  <c r="K108" i="1" s="1"/>
  <c r="L108" i="1" s="1"/>
  <c r="M108" i="1" s="1"/>
  <c r="N108" i="1" s="1"/>
  <c r="O108" i="1" s="1"/>
  <c r="P108" i="1" s="1"/>
  <c r="Q108" i="1" s="1"/>
  <c r="H107" i="1"/>
  <c r="K107" i="1" s="1"/>
  <c r="L107" i="1" s="1"/>
  <c r="M107" i="1" s="1"/>
  <c r="H106" i="1"/>
  <c r="K106" i="1" s="1"/>
  <c r="L106" i="1" s="1"/>
  <c r="M106" i="1" s="1"/>
  <c r="N106" i="1" s="1"/>
  <c r="O106" i="1" s="1"/>
  <c r="P106" i="1" s="1"/>
  <c r="Q106" i="1" s="1"/>
  <c r="H105" i="1"/>
  <c r="K105" i="1" s="1"/>
  <c r="L105" i="1" s="1"/>
  <c r="M105" i="1" s="1"/>
  <c r="H104" i="1"/>
  <c r="K104" i="1"/>
  <c r="H103" i="1"/>
  <c r="K103" i="1" s="1"/>
  <c r="L103" i="1" s="1"/>
  <c r="M103" i="1" s="1"/>
  <c r="H101" i="1"/>
  <c r="K101" i="1" s="1"/>
  <c r="L101" i="1" s="1"/>
  <c r="M101" i="1" s="1"/>
  <c r="H100" i="1"/>
  <c r="K100" i="1" s="1"/>
  <c r="H99" i="1"/>
  <c r="K99" i="1" s="1"/>
  <c r="L99" i="1" s="1"/>
  <c r="M99" i="1" s="1"/>
  <c r="H93" i="1"/>
  <c r="K93" i="1" s="1"/>
  <c r="H92" i="1"/>
  <c r="H91" i="1"/>
  <c r="K91" i="1" s="1"/>
  <c r="H90" i="1"/>
  <c r="H89" i="1"/>
  <c r="K89" i="1" s="1"/>
  <c r="L89" i="1" s="1"/>
  <c r="M89" i="1" s="1"/>
  <c r="N89" i="1" s="1"/>
  <c r="O89" i="1" s="1"/>
  <c r="P89" i="1" s="1"/>
  <c r="Q89" i="1" s="1"/>
  <c r="H88" i="1"/>
  <c r="K88" i="1" s="1"/>
  <c r="H87" i="1"/>
  <c r="K87" i="1" s="1"/>
  <c r="L87" i="1" s="1"/>
  <c r="M87" i="1" s="1"/>
  <c r="H86" i="1"/>
  <c r="K86" i="1" s="1"/>
  <c r="H19" i="3"/>
  <c r="I5" i="3"/>
  <c r="I14" i="3"/>
  <c r="G22" i="3"/>
  <c r="G9" i="3"/>
  <c r="G17" i="3"/>
  <c r="G15" i="3"/>
  <c r="I15" i="3"/>
  <c r="G14" i="3"/>
  <c r="G13" i="3"/>
  <c r="I13" i="3"/>
  <c r="H84" i="1"/>
  <c r="H83" i="1"/>
  <c r="H80" i="1"/>
  <c r="H79" i="1"/>
  <c r="H82" i="1"/>
  <c r="K82" i="1" s="1"/>
  <c r="L82" i="1" s="1"/>
  <c r="M82" i="1" s="1"/>
  <c r="H81" i="1"/>
  <c r="K81" i="1" s="1"/>
  <c r="L81" i="1" s="1"/>
  <c r="M81" i="1" s="1"/>
  <c r="H78" i="1"/>
  <c r="K78" i="1" s="1"/>
  <c r="H77" i="1"/>
  <c r="K77" i="1" s="1"/>
  <c r="L77" i="1" s="1"/>
  <c r="M77" i="1" s="1"/>
  <c r="N77" i="1" s="1"/>
  <c r="O77" i="1" s="1"/>
  <c r="P77" i="1" s="1"/>
  <c r="E8" i="2"/>
  <c r="G8" i="2"/>
  <c r="I8" i="2"/>
  <c r="E7" i="2"/>
  <c r="H64" i="1"/>
  <c r="K64" i="1" s="1"/>
  <c r="L64" i="1" s="1"/>
  <c r="M64" i="1" s="1"/>
  <c r="D62" i="1"/>
  <c r="H62" i="1" s="1"/>
  <c r="K62" i="1" s="1"/>
  <c r="L62" i="1" s="1"/>
  <c r="M62" i="1" s="1"/>
  <c r="D63" i="1"/>
  <c r="H63" i="1" s="1"/>
  <c r="K63" i="1" s="1"/>
  <c r="L63" i="1" s="1"/>
  <c r="M63" i="1" s="1"/>
  <c r="N63" i="1" s="1"/>
  <c r="O63" i="1" s="1"/>
  <c r="P63" i="1" s="1"/>
  <c r="Q63" i="1" s="1"/>
  <c r="E19" i="2"/>
  <c r="E18" i="2"/>
  <c r="E12" i="2"/>
  <c r="E13" i="2"/>
  <c r="E4" i="2"/>
  <c r="E5" i="2"/>
  <c r="H14" i="1"/>
  <c r="K14" i="1" s="1"/>
  <c r="L14" i="1" s="1"/>
  <c r="M14" i="1" s="1"/>
  <c r="N14" i="1" s="1"/>
  <c r="O14" i="1" s="1"/>
  <c r="P14" i="1" s="1"/>
  <c r="Q14" i="1" s="1"/>
  <c r="H15" i="1"/>
  <c r="K15" i="1" s="1"/>
  <c r="L15" i="1" s="1"/>
  <c r="M15" i="1" s="1"/>
  <c r="H16" i="1"/>
  <c r="K16" i="1" s="1"/>
  <c r="H17" i="1"/>
  <c r="K17" i="1" s="1"/>
  <c r="L17" i="1" s="1"/>
  <c r="M17" i="1" s="1"/>
  <c r="H18" i="1"/>
  <c r="K18" i="1" s="1"/>
  <c r="L18" i="1" s="1"/>
  <c r="M18" i="1" s="1"/>
  <c r="H19" i="1"/>
  <c r="K19" i="1" s="1"/>
  <c r="L19" i="1" s="1"/>
  <c r="M19" i="1" s="1"/>
  <c r="N19" i="1" s="1"/>
  <c r="O19" i="1" s="1"/>
  <c r="P19" i="1" s="1"/>
  <c r="Q19" i="1" s="1"/>
  <c r="H20" i="1"/>
  <c r="K20" i="1" s="1"/>
  <c r="E17" i="2"/>
  <c r="E16" i="2"/>
  <c r="E14" i="2"/>
  <c r="E20" i="2"/>
  <c r="E25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6" i="2"/>
  <c r="E10" i="2"/>
  <c r="E11" i="2"/>
  <c r="E15" i="2"/>
  <c r="E21" i="2"/>
  <c r="E22" i="2"/>
  <c r="E23" i="2"/>
  <c r="E24" i="2"/>
  <c r="E26" i="2"/>
  <c r="E27" i="2"/>
  <c r="E28" i="2"/>
  <c r="E29" i="2"/>
  <c r="H12" i="1"/>
  <c r="K12" i="1" s="1"/>
  <c r="L12" i="1" s="1"/>
  <c r="M12" i="1" s="1"/>
  <c r="H13" i="1"/>
  <c r="K13" i="1" s="1"/>
  <c r="L13" i="1" s="1"/>
  <c r="M13" i="1" s="1"/>
  <c r="E3" i="2"/>
  <c r="H21" i="1"/>
  <c r="K21" i="1" s="1"/>
  <c r="L21" i="1" s="1"/>
  <c r="M21" i="1" s="1"/>
  <c r="H22" i="1"/>
  <c r="K22" i="1" s="1"/>
  <c r="L22" i="1" s="1"/>
  <c r="M22" i="1" s="1"/>
  <c r="H23" i="1"/>
  <c r="K23" i="1" s="1"/>
  <c r="L23" i="1" s="1"/>
  <c r="M23" i="1" s="1"/>
  <c r="H24" i="1"/>
  <c r="K24" i="1"/>
  <c r="L24" i="1" s="1"/>
  <c r="M24" i="1" s="1"/>
  <c r="H25" i="1"/>
  <c r="K25" i="1" s="1"/>
  <c r="L25" i="1" s="1"/>
  <c r="M25" i="1" s="1"/>
  <c r="H26" i="1"/>
  <c r="K26" i="1" s="1"/>
  <c r="H27" i="1"/>
  <c r="K27" i="1" s="1"/>
  <c r="L27" i="1" s="1"/>
  <c r="M27" i="1" s="1"/>
  <c r="N27" i="1" s="1"/>
  <c r="O27" i="1" s="1"/>
  <c r="P27" i="1" s="1"/>
  <c r="Q27" i="1" s="1"/>
  <c r="H28" i="1"/>
  <c r="K28" i="1" s="1"/>
  <c r="L28" i="1" s="1"/>
  <c r="M28" i="1" s="1"/>
  <c r="H29" i="1"/>
  <c r="K29" i="1" s="1"/>
  <c r="L29" i="1" s="1"/>
  <c r="M29" i="1" s="1"/>
  <c r="H30" i="1"/>
  <c r="K30" i="1" s="1"/>
  <c r="H31" i="1"/>
  <c r="K31" i="1" s="1"/>
  <c r="H32" i="1"/>
  <c r="K32" i="1" s="1"/>
  <c r="L32" i="1" s="1"/>
  <c r="M32" i="1" s="1"/>
  <c r="H33" i="1"/>
  <c r="K33" i="1" s="1"/>
  <c r="L33" i="1" s="1"/>
  <c r="M33" i="1" s="1"/>
  <c r="H34" i="1"/>
  <c r="K34" i="1" s="1"/>
  <c r="L34" i="1" s="1"/>
  <c r="M34" i="1" s="1"/>
  <c r="H35" i="1"/>
  <c r="K35" i="1" s="1"/>
  <c r="L35" i="1" s="1"/>
  <c r="M35" i="1" s="1"/>
  <c r="N35" i="1" s="1"/>
  <c r="O35" i="1" s="1"/>
  <c r="P35" i="1" s="1"/>
  <c r="Q35" i="1" s="1"/>
  <c r="H36" i="1"/>
  <c r="K36" i="1" s="1"/>
  <c r="L36" i="1" s="1"/>
  <c r="M36" i="1" s="1"/>
  <c r="N36" i="1" s="1"/>
  <c r="O36" i="1" s="1"/>
  <c r="P36" i="1" s="1"/>
  <c r="Q36" i="1" s="1"/>
  <c r="H37" i="1"/>
  <c r="K37" i="1" s="1"/>
  <c r="L37" i="1" s="1"/>
  <c r="M37" i="1" s="1"/>
  <c r="N37" i="1" s="1"/>
  <c r="O37" i="1" s="1"/>
  <c r="P37" i="1" s="1"/>
  <c r="Q37" i="1" s="1"/>
  <c r="H38" i="1"/>
  <c r="K38" i="1" s="1"/>
  <c r="L38" i="1" s="1"/>
  <c r="M38" i="1" s="1"/>
  <c r="H39" i="1"/>
  <c r="K39" i="1" s="1"/>
  <c r="L39" i="1" s="1"/>
  <c r="M39" i="1" s="1"/>
  <c r="N39" i="1" s="1"/>
  <c r="O39" i="1" s="1"/>
  <c r="P39" i="1" s="1"/>
  <c r="Q39" i="1" s="1"/>
  <c r="H40" i="1"/>
  <c r="K40" i="1" s="1"/>
  <c r="L40" i="1" s="1"/>
  <c r="M40" i="1" s="1"/>
  <c r="N40" i="1" s="1"/>
  <c r="O40" i="1" s="1"/>
  <c r="P40" i="1" s="1"/>
  <c r="Q40" i="1" s="1"/>
  <c r="H41" i="1"/>
  <c r="K41" i="1" s="1"/>
  <c r="H42" i="1"/>
  <c r="K42" i="1" s="1"/>
  <c r="L42" i="1" s="1"/>
  <c r="M42" i="1" s="1"/>
  <c r="H43" i="1"/>
  <c r="K43" i="1" s="1"/>
  <c r="L43" i="1" s="1"/>
  <c r="M43" i="1" s="1"/>
  <c r="N43" i="1" s="1"/>
  <c r="O43" i="1" s="1"/>
  <c r="P43" i="1" s="1"/>
  <c r="Q43" i="1" s="1"/>
  <c r="H44" i="1"/>
  <c r="K44" i="1" s="1"/>
  <c r="L44" i="1" s="1"/>
  <c r="M44" i="1" s="1"/>
  <c r="H45" i="1"/>
  <c r="K45" i="1" s="1"/>
  <c r="L45" i="1" s="1"/>
  <c r="M45" i="1" s="1"/>
  <c r="H46" i="1"/>
  <c r="K46" i="1" s="1"/>
  <c r="H47" i="1"/>
  <c r="K47" i="1" s="1"/>
  <c r="H48" i="1"/>
  <c r="K48" i="1" s="1"/>
  <c r="L48" i="1" s="1"/>
  <c r="M48" i="1" s="1"/>
  <c r="N48" i="1" s="1"/>
  <c r="O48" i="1" s="1"/>
  <c r="P48" i="1" s="1"/>
  <c r="Q48" i="1" s="1"/>
  <c r="H49" i="1"/>
  <c r="K49" i="1"/>
  <c r="L49" i="1" s="1"/>
  <c r="M49" i="1" s="1"/>
  <c r="N49" i="1" s="1"/>
  <c r="O49" i="1" s="1"/>
  <c r="P49" i="1" s="1"/>
  <c r="Q49" i="1" s="1"/>
  <c r="H50" i="1"/>
  <c r="K50" i="1" s="1"/>
  <c r="H51" i="1"/>
  <c r="K51" i="1" s="1"/>
  <c r="L51" i="1"/>
  <c r="M51" i="1" s="1"/>
  <c r="H52" i="1"/>
  <c r="K52" i="1"/>
  <c r="L52" i="1" s="1"/>
  <c r="M52" i="1" s="1"/>
  <c r="N52" i="1" s="1"/>
  <c r="O52" i="1" s="1"/>
  <c r="P52" i="1" s="1"/>
  <c r="Q52" i="1" s="1"/>
  <c r="H53" i="1"/>
  <c r="K53" i="1" s="1"/>
  <c r="L53" i="1" s="1"/>
  <c r="M53" i="1" s="1"/>
  <c r="H54" i="1"/>
  <c r="K54" i="1" s="1"/>
  <c r="H55" i="1"/>
  <c r="K55" i="1" s="1"/>
  <c r="L55" i="1" s="1"/>
  <c r="M55" i="1" s="1"/>
  <c r="H56" i="1"/>
  <c r="K56" i="1" s="1"/>
  <c r="H57" i="1"/>
  <c r="K57" i="1"/>
  <c r="L57" i="1" s="1"/>
  <c r="M57" i="1" s="1"/>
  <c r="H58" i="1"/>
  <c r="K58" i="1" s="1"/>
  <c r="H59" i="1"/>
  <c r="K59" i="1" s="1"/>
  <c r="L59" i="1" s="1"/>
  <c r="M59" i="1" s="1"/>
  <c r="H60" i="1"/>
  <c r="K60" i="1" s="1"/>
  <c r="H61" i="1"/>
  <c r="K61" i="1" s="1"/>
  <c r="L61" i="1" s="1"/>
  <c r="M61" i="1" s="1"/>
  <c r="H65" i="1"/>
  <c r="K65" i="1" s="1"/>
  <c r="H66" i="1"/>
  <c r="K66" i="1" s="1"/>
  <c r="L66" i="1" s="1"/>
  <c r="M66" i="1" s="1"/>
  <c r="N66" i="1" s="1"/>
  <c r="O66" i="1" s="1"/>
  <c r="P66" i="1" s="1"/>
  <c r="Q66" i="1" s="1"/>
  <c r="H67" i="1"/>
  <c r="K67" i="1" s="1"/>
  <c r="L67" i="1" s="1"/>
  <c r="M67" i="1" s="1"/>
  <c r="N67" i="1" s="1"/>
  <c r="O67" i="1" s="1"/>
  <c r="P67" i="1" s="1"/>
  <c r="Q67" i="1" s="1"/>
  <c r="H68" i="1"/>
  <c r="K68" i="1"/>
  <c r="L68" i="1" s="1"/>
  <c r="M68" i="1" s="1"/>
  <c r="H69" i="1"/>
  <c r="K69" i="1" s="1"/>
  <c r="L69" i="1" s="1"/>
  <c r="M69" i="1" s="1"/>
  <c r="H70" i="1"/>
  <c r="K70" i="1" s="1"/>
  <c r="H71" i="1"/>
  <c r="K71" i="1" s="1"/>
  <c r="H72" i="1"/>
  <c r="K72" i="1" s="1"/>
  <c r="H73" i="1"/>
  <c r="K73" i="1" s="1"/>
  <c r="L73" i="1" s="1"/>
  <c r="M73" i="1" s="1"/>
  <c r="H74" i="1"/>
  <c r="K74" i="1" s="1"/>
  <c r="L74" i="1" s="1"/>
  <c r="M74" i="1" s="1"/>
  <c r="H75" i="1"/>
  <c r="K75" i="1" s="1"/>
  <c r="H76" i="1"/>
  <c r="K76" i="1" s="1"/>
  <c r="H11" i="1"/>
  <c r="K11" i="1" s="1"/>
  <c r="L11" i="1" s="1"/>
  <c r="M11" i="1" s="1"/>
  <c r="E9" i="2"/>
  <c r="G9" i="2"/>
  <c r="G3" i="2"/>
  <c r="G4" i="2"/>
  <c r="G7" i="2"/>
  <c r="I7" i="2"/>
  <c r="K9" i="3"/>
  <c r="L9" i="3"/>
  <c r="G5" i="2"/>
  <c r="I5" i="2"/>
  <c r="G6" i="2"/>
  <c r="I6" i="2"/>
  <c r="K147" i="1"/>
  <c r="L147" i="1" s="1"/>
  <c r="M147" i="1" s="1"/>
  <c r="L133" i="1"/>
  <c r="M133" i="1" s="1"/>
  <c r="N133" i="1" s="1"/>
  <c r="O133" i="1" s="1"/>
  <c r="P133" i="1" s="1"/>
  <c r="Q133" i="1" s="1"/>
  <c r="L20" i="1"/>
  <c r="M20" i="1" s="1"/>
  <c r="N20" i="1" s="1"/>
  <c r="O20" i="1" s="1"/>
  <c r="P20" i="1" s="1"/>
  <c r="Q20" i="1" s="1"/>
  <c r="N81" i="1"/>
  <c r="O81" i="1" s="1"/>
  <c r="P81" i="1" s="1"/>
  <c r="Y81" i="1" s="1"/>
  <c r="L91" i="1"/>
  <c r="M91" i="1" s="1"/>
  <c r="N91" i="1" s="1"/>
  <c r="O91" i="1" s="1"/>
  <c r="P91" i="1" s="1"/>
  <c r="Q91" i="1" s="1"/>
  <c r="L114" i="1"/>
  <c r="M114" i="1" s="1"/>
  <c r="N114" i="1" s="1"/>
  <c r="O114" i="1" s="1"/>
  <c r="P114" i="1" s="1"/>
  <c r="Q114" i="1" s="1"/>
  <c r="L75" i="1"/>
  <c r="M75" i="1" s="1"/>
  <c r="N153" i="1"/>
  <c r="O153" i="1" s="1"/>
  <c r="P153" i="1" s="1"/>
  <c r="L132" i="1"/>
  <c r="M132" i="1" s="1"/>
  <c r="N132" i="1" s="1"/>
  <c r="O132" i="1" s="1"/>
  <c r="P132" i="1" s="1"/>
  <c r="Q132" i="1" s="1"/>
  <c r="N73" i="1"/>
  <c r="O73" i="1" s="1"/>
  <c r="P73" i="1" s="1"/>
  <c r="Q73" i="1" s="1"/>
  <c r="N101" i="1"/>
  <c r="O101" i="1" s="1"/>
  <c r="P101" i="1" s="1"/>
  <c r="Q101" i="1" s="1"/>
  <c r="L181" i="1" l="1"/>
  <c r="M181" i="1" s="1"/>
  <c r="N181" i="1" s="1"/>
  <c r="O181" i="1" s="1"/>
  <c r="P181" i="1" s="1"/>
  <c r="N176" i="1"/>
  <c r="O176" i="1" s="1"/>
  <c r="P176" i="1" s="1"/>
  <c r="L179" i="1"/>
  <c r="M179" i="1" s="1"/>
  <c r="N179" i="1" s="1"/>
  <c r="O179" i="1" s="1"/>
  <c r="P179" i="1" s="1"/>
  <c r="L177" i="1"/>
  <c r="M177" i="1" s="1"/>
  <c r="N177" i="1" s="1"/>
  <c r="O177" i="1" s="1"/>
  <c r="P177" i="1" s="1"/>
  <c r="L138" i="1"/>
  <c r="M138" i="1" s="1"/>
  <c r="N138" i="1" s="1"/>
  <c r="O138" i="1" s="1"/>
  <c r="P138" i="1" s="1"/>
  <c r="Q138" i="1" s="1"/>
  <c r="L58" i="1"/>
  <c r="M58" i="1" s="1"/>
  <c r="N58" i="1" s="1"/>
  <c r="O58" i="1" s="1"/>
  <c r="P58" i="1" s="1"/>
  <c r="Q58" i="1" s="1"/>
  <c r="L156" i="1"/>
  <c r="M156" i="1" s="1"/>
  <c r="N156" i="1" s="1"/>
  <c r="O156" i="1" s="1"/>
  <c r="P156" i="1" s="1"/>
  <c r="N55" i="1"/>
  <c r="O55" i="1" s="1"/>
  <c r="P55" i="1" s="1"/>
  <c r="Q55" i="1" s="1"/>
  <c r="N68" i="1"/>
  <c r="O68" i="1" s="1"/>
  <c r="P68" i="1" s="1"/>
  <c r="Q68" i="1" s="1"/>
  <c r="N105" i="1"/>
  <c r="O105" i="1" s="1"/>
  <c r="P105" i="1" s="1"/>
  <c r="Q105" i="1" s="1"/>
  <c r="N87" i="1"/>
  <c r="O87" i="1" s="1"/>
  <c r="P87" i="1" s="1"/>
  <c r="Q87" i="1" s="1"/>
  <c r="N115" i="1"/>
  <c r="O115" i="1" s="1"/>
  <c r="P115" i="1" s="1"/>
  <c r="Q115" i="1" s="1"/>
  <c r="L175" i="1"/>
  <c r="M175" i="1" s="1"/>
  <c r="N175" i="1" s="1"/>
  <c r="O175" i="1" s="1"/>
  <c r="P175" i="1" s="1"/>
  <c r="L144" i="1"/>
  <c r="M144" i="1" s="1"/>
  <c r="N144" i="1" s="1"/>
  <c r="O144" i="1" s="1"/>
  <c r="P144" i="1" s="1"/>
  <c r="Q144" i="1" s="1"/>
  <c r="L154" i="1"/>
  <c r="M154" i="1" s="1"/>
  <c r="N154" i="1" s="1"/>
  <c r="O154" i="1" s="1"/>
  <c r="P154" i="1" s="1"/>
  <c r="L41" i="1"/>
  <c r="M41" i="1" s="1"/>
  <c r="N41" i="1"/>
  <c r="O41" i="1" s="1"/>
  <c r="P41" i="1" s="1"/>
  <c r="Q41" i="1" s="1"/>
  <c r="L78" i="1"/>
  <c r="M78" i="1" s="1"/>
  <c r="N78" i="1" s="1"/>
  <c r="O78" i="1" s="1"/>
  <c r="P78" i="1" s="1"/>
  <c r="Q78" i="1" s="1"/>
  <c r="L172" i="1"/>
  <c r="M172" i="1" s="1"/>
  <c r="N172" i="1" s="1"/>
  <c r="O172" i="1" s="1"/>
  <c r="P172" i="1" s="1"/>
  <c r="L30" i="1"/>
  <c r="M30" i="1" s="1"/>
  <c r="N30" i="1" s="1"/>
  <c r="O30" i="1" s="1"/>
  <c r="P30" i="1" s="1"/>
  <c r="Q30" i="1" s="1"/>
  <c r="L46" i="1"/>
  <c r="M46" i="1" s="1"/>
  <c r="N46" i="1" s="1"/>
  <c r="O46" i="1" s="1"/>
  <c r="P46" i="1" s="1"/>
  <c r="Q46" i="1" s="1"/>
  <c r="L168" i="1"/>
  <c r="M168" i="1" s="1"/>
  <c r="N168" i="1" s="1"/>
  <c r="O168" i="1" s="1"/>
  <c r="P168" i="1" s="1"/>
  <c r="L142" i="1"/>
  <c r="M142" i="1" s="1"/>
  <c r="N142" i="1" s="1"/>
  <c r="O142" i="1" s="1"/>
  <c r="P142" i="1" s="1"/>
  <c r="Q142" i="1" s="1"/>
  <c r="L113" i="1"/>
  <c r="M113" i="1" s="1"/>
  <c r="N113" i="1" s="1"/>
  <c r="O113" i="1" s="1"/>
  <c r="P113" i="1" s="1"/>
  <c r="Q113" i="1" s="1"/>
  <c r="N102" i="1"/>
  <c r="O102" i="1" s="1"/>
  <c r="P102" i="1" s="1"/>
  <c r="Q102" i="1" s="1"/>
  <c r="N57" i="1"/>
  <c r="O57" i="1" s="1"/>
  <c r="P57" i="1" s="1"/>
  <c r="Q57" i="1" s="1"/>
  <c r="N74" i="1"/>
  <c r="O74" i="1" s="1"/>
  <c r="P74" i="1" s="1"/>
  <c r="Q74" i="1" s="1"/>
  <c r="L54" i="1"/>
  <c r="M54" i="1" s="1"/>
  <c r="N54" i="1" s="1"/>
  <c r="O54" i="1" s="1"/>
  <c r="P54" i="1" s="1"/>
  <c r="Q54" i="1" s="1"/>
  <c r="Q81" i="1"/>
  <c r="N85" i="1"/>
  <c r="O85" i="1" s="1"/>
  <c r="P85" i="1" s="1"/>
  <c r="Q85" i="1" s="1"/>
  <c r="N34" i="1"/>
  <c r="O34" i="1" s="1"/>
  <c r="P34" i="1" s="1"/>
  <c r="Q34" i="1" s="1"/>
  <c r="N64" i="1"/>
  <c r="O64" i="1" s="1"/>
  <c r="P64" i="1" s="1"/>
  <c r="Q64" i="1" s="1"/>
  <c r="N24" i="1"/>
  <c r="O24" i="1" s="1"/>
  <c r="P24" i="1" s="1"/>
  <c r="Q24" i="1" s="1"/>
  <c r="N25" i="1"/>
  <c r="O25" i="1" s="1"/>
  <c r="P25" i="1" s="1"/>
  <c r="Q25" i="1" s="1"/>
  <c r="N97" i="1"/>
  <c r="O97" i="1" s="1"/>
  <c r="P97" i="1" s="1"/>
  <c r="Q97" i="1" s="1"/>
  <c r="N174" i="1"/>
  <c r="O174" i="1" s="1"/>
  <c r="P174" i="1" s="1"/>
  <c r="L122" i="1"/>
  <c r="M122" i="1" s="1"/>
  <c r="N122" i="1" s="1"/>
  <c r="O122" i="1" s="1"/>
  <c r="P122" i="1" s="1"/>
  <c r="Q122" i="1" s="1"/>
  <c r="L72" i="1"/>
  <c r="M72" i="1" s="1"/>
  <c r="N72" i="1" s="1"/>
  <c r="O72" i="1" s="1"/>
  <c r="P72" i="1" s="1"/>
  <c r="Q72" i="1" s="1"/>
  <c r="L71" i="1"/>
  <c r="M71" i="1" s="1"/>
  <c r="N71" i="1" s="1"/>
  <c r="O71" i="1" s="1"/>
  <c r="P71" i="1" s="1"/>
  <c r="Q71" i="1" s="1"/>
  <c r="N53" i="1"/>
  <c r="O53" i="1" s="1"/>
  <c r="P53" i="1" s="1"/>
  <c r="Q53" i="1" s="1"/>
  <c r="N59" i="1"/>
  <c r="O59" i="1" s="1"/>
  <c r="P59" i="1" s="1"/>
  <c r="Q59" i="1" s="1"/>
  <c r="L104" i="1"/>
  <c r="M104" i="1" s="1"/>
  <c r="N104" i="1" s="1"/>
  <c r="O104" i="1" s="1"/>
  <c r="P104" i="1" s="1"/>
  <c r="Q104" i="1" s="1"/>
  <c r="N109" i="1"/>
  <c r="O109" i="1" s="1"/>
  <c r="P109" i="1" s="1"/>
  <c r="Q109" i="1" s="1"/>
  <c r="L163" i="1"/>
  <c r="M163" i="1" s="1"/>
  <c r="N163" i="1" s="1"/>
  <c r="O163" i="1" s="1"/>
  <c r="P163" i="1" s="1"/>
  <c r="L60" i="1"/>
  <c r="M60" i="1" s="1"/>
  <c r="N60" i="1" s="1"/>
  <c r="O60" i="1" s="1"/>
  <c r="P60" i="1" s="1"/>
  <c r="Q60" i="1" s="1"/>
  <c r="N28" i="1"/>
  <c r="O28" i="1" s="1"/>
  <c r="P28" i="1" s="1"/>
  <c r="Q28" i="1" s="1"/>
  <c r="L56" i="1"/>
  <c r="M56" i="1" s="1"/>
  <c r="N56" i="1" s="1"/>
  <c r="O56" i="1" s="1"/>
  <c r="P56" i="1" s="1"/>
  <c r="Q56" i="1" s="1"/>
  <c r="L65" i="1"/>
  <c r="M65" i="1" s="1"/>
  <c r="N65" i="1" s="1"/>
  <c r="O65" i="1" s="1"/>
  <c r="P65" i="1" s="1"/>
  <c r="Q65" i="1" s="1"/>
  <c r="L131" i="1"/>
  <c r="M131" i="1" s="1"/>
  <c r="N131" i="1" s="1"/>
  <c r="O131" i="1" s="1"/>
  <c r="P131" i="1" s="1"/>
  <c r="Q131" i="1" s="1"/>
  <c r="N147" i="1"/>
  <c r="O147" i="1" s="1"/>
  <c r="P147" i="1" s="1"/>
  <c r="Q147" i="1" s="1"/>
  <c r="L118" i="1"/>
  <c r="M118" i="1" s="1"/>
  <c r="N118" i="1" s="1"/>
  <c r="O118" i="1" s="1"/>
  <c r="P118" i="1" s="1"/>
  <c r="Q118" i="1" s="1"/>
  <c r="N45" i="1"/>
  <c r="O45" i="1" s="1"/>
  <c r="P45" i="1" s="1"/>
  <c r="Q45" i="1" s="1"/>
  <c r="N51" i="1"/>
  <c r="O51" i="1" s="1"/>
  <c r="P51" i="1" s="1"/>
  <c r="Q51" i="1" s="1"/>
  <c r="N42" i="1"/>
  <c r="O42" i="1" s="1"/>
  <c r="P42" i="1" s="1"/>
  <c r="Q42" i="1" s="1"/>
  <c r="N18" i="1"/>
  <c r="O18" i="1" s="1"/>
  <c r="P18" i="1" s="1"/>
  <c r="Q18" i="1" s="1"/>
  <c r="L141" i="1"/>
  <c r="M141" i="1" s="1"/>
  <c r="N141" i="1" s="1"/>
  <c r="O141" i="1" s="1"/>
  <c r="P141" i="1" s="1"/>
  <c r="Q141" i="1" s="1"/>
  <c r="Y77" i="1"/>
  <c r="Q77" i="1"/>
  <c r="L76" i="1"/>
  <c r="M76" i="1" s="1"/>
  <c r="N76" i="1" s="1"/>
  <c r="O76" i="1" s="1"/>
  <c r="P76" i="1" s="1"/>
  <c r="Q76" i="1" s="1"/>
  <c r="L127" i="1"/>
  <c r="M127" i="1" s="1"/>
  <c r="N127" i="1" s="1"/>
  <c r="O127" i="1" s="1"/>
  <c r="P127" i="1" s="1"/>
  <c r="Q127" i="1" s="1"/>
  <c r="N11" i="1"/>
  <c r="O11" i="1" s="1"/>
  <c r="P11" i="1" s="1"/>
  <c r="Q11" i="1" s="1"/>
  <c r="N75" i="1"/>
  <c r="O75" i="1" s="1"/>
  <c r="P75" i="1" s="1"/>
  <c r="Q75" i="1" s="1"/>
  <c r="L26" i="1"/>
  <c r="M26" i="1" s="1"/>
  <c r="N26" i="1" s="1"/>
  <c r="O26" i="1" s="1"/>
  <c r="P26" i="1" s="1"/>
  <c r="Q26" i="1" s="1"/>
  <c r="L129" i="1"/>
  <c r="M129" i="1" s="1"/>
  <c r="N129" i="1" s="1"/>
  <c r="O129" i="1" s="1"/>
  <c r="P129" i="1" s="1"/>
  <c r="Q129" i="1" s="1"/>
  <c r="L94" i="1"/>
  <c r="M94" i="1" s="1"/>
  <c r="N94" i="1" s="1"/>
  <c r="O94" i="1" s="1"/>
  <c r="P94" i="1" s="1"/>
  <c r="Q94" i="1" s="1"/>
  <c r="L70" i="1"/>
  <c r="M70" i="1" s="1"/>
  <c r="N70" i="1" s="1"/>
  <c r="O70" i="1" s="1"/>
  <c r="P70" i="1" s="1"/>
  <c r="Q70" i="1" s="1"/>
  <c r="N13" i="1"/>
  <c r="O13" i="1" s="1"/>
  <c r="P13" i="1" s="1"/>
  <c r="Q13" i="1" s="1"/>
  <c r="N107" i="1"/>
  <c r="O107" i="1" s="1"/>
  <c r="P107" i="1" s="1"/>
  <c r="Q107" i="1" s="1"/>
  <c r="N125" i="1"/>
  <c r="O125" i="1" s="1"/>
  <c r="P125" i="1" s="1"/>
  <c r="Q125" i="1" s="1"/>
  <c r="N99" i="1"/>
  <c r="O99" i="1" s="1"/>
  <c r="P99" i="1" s="1"/>
  <c r="Q99" i="1" s="1"/>
  <c r="N137" i="1"/>
  <c r="O137" i="1" s="1"/>
  <c r="P137" i="1" s="1"/>
  <c r="Q137" i="1" s="1"/>
  <c r="N69" i="1"/>
  <c r="O69" i="1" s="1"/>
  <c r="P69" i="1" s="1"/>
  <c r="Q69" i="1" s="1"/>
  <c r="N38" i="1"/>
  <c r="O38" i="1" s="1"/>
  <c r="P38" i="1" s="1"/>
  <c r="Q38" i="1" s="1"/>
  <c r="N29" i="1"/>
  <c r="O29" i="1" s="1"/>
  <c r="P29" i="1" s="1"/>
  <c r="Q29" i="1" s="1"/>
  <c r="L16" i="1"/>
  <c r="M16" i="1" s="1"/>
  <c r="N16" i="1" s="1"/>
  <c r="O16" i="1" s="1"/>
  <c r="P16" i="1" s="1"/>
  <c r="Q16" i="1" s="1"/>
  <c r="L86" i="1"/>
  <c r="M86" i="1" s="1"/>
  <c r="N86" i="1" s="1"/>
  <c r="O86" i="1" s="1"/>
  <c r="P86" i="1" s="1"/>
  <c r="Q86" i="1" s="1"/>
  <c r="L161" i="1"/>
  <c r="M161" i="1" s="1"/>
  <c r="N161" i="1" s="1"/>
  <c r="O161" i="1" s="1"/>
  <c r="P161" i="1" s="1"/>
  <c r="L164" i="1"/>
  <c r="M164" i="1" s="1"/>
  <c r="N164" i="1"/>
  <c r="O164" i="1" s="1"/>
  <c r="P164" i="1" s="1"/>
  <c r="N33" i="1"/>
  <c r="O33" i="1" s="1"/>
  <c r="P33" i="1" s="1"/>
  <c r="Q33" i="1" s="1"/>
  <c r="L93" i="1"/>
  <c r="M93" i="1" s="1"/>
  <c r="N93" i="1" s="1"/>
  <c r="O93" i="1" s="1"/>
  <c r="P93" i="1" s="1"/>
  <c r="Q93" i="1" s="1"/>
  <c r="L158" i="1"/>
  <c r="M158" i="1" s="1"/>
  <c r="N158" i="1" s="1"/>
  <c r="O158" i="1" s="1"/>
  <c r="P158" i="1" s="1"/>
  <c r="N136" i="1"/>
  <c r="O136" i="1" s="1"/>
  <c r="P136" i="1" s="1"/>
  <c r="Q136" i="1" s="1"/>
  <c r="N12" i="1"/>
  <c r="O12" i="1" s="1"/>
  <c r="P12" i="1" s="1"/>
  <c r="Q12" i="1" s="1"/>
  <c r="N44" i="1"/>
  <c r="O44" i="1" s="1"/>
  <c r="P44" i="1" s="1"/>
  <c r="Q44" i="1" s="1"/>
  <c r="N123" i="1"/>
  <c r="O123" i="1" s="1"/>
  <c r="P123" i="1" s="1"/>
  <c r="Q123" i="1" s="1"/>
  <c r="N22" i="1"/>
  <c r="O22" i="1" s="1"/>
  <c r="P22" i="1" s="1"/>
  <c r="Q22" i="1" s="1"/>
  <c r="N47" i="1"/>
  <c r="O47" i="1" s="1"/>
  <c r="P47" i="1" s="1"/>
  <c r="Q47" i="1" s="1"/>
  <c r="L47" i="1"/>
  <c r="M47" i="1" s="1"/>
  <c r="L31" i="1"/>
  <c r="M31" i="1" s="1"/>
  <c r="N31" i="1" s="1"/>
  <c r="O31" i="1" s="1"/>
  <c r="P31" i="1" s="1"/>
  <c r="Q31" i="1" s="1"/>
  <c r="N170" i="1"/>
  <c r="O170" i="1" s="1"/>
  <c r="P170" i="1" s="1"/>
  <c r="L167" i="1"/>
  <c r="M167" i="1" s="1"/>
  <c r="N167" i="1"/>
  <c r="O167" i="1" s="1"/>
  <c r="P167" i="1" s="1"/>
  <c r="L100" i="1"/>
  <c r="M100" i="1" s="1"/>
  <c r="N100" i="1" s="1"/>
  <c r="O100" i="1" s="1"/>
  <c r="P100" i="1" s="1"/>
  <c r="Q100" i="1" s="1"/>
  <c r="N149" i="1"/>
  <c r="O149" i="1" s="1"/>
  <c r="P149" i="1" s="1"/>
  <c r="L139" i="1"/>
  <c r="M139" i="1" s="1"/>
  <c r="N139" i="1" s="1"/>
  <c r="O139" i="1" s="1"/>
  <c r="P139" i="1" s="1"/>
  <c r="Q139" i="1" s="1"/>
  <c r="L157" i="1"/>
  <c r="M157" i="1" s="1"/>
  <c r="N157" i="1" s="1"/>
  <c r="O157" i="1" s="1"/>
  <c r="P157" i="1" s="1"/>
  <c r="N103" i="1"/>
  <c r="O103" i="1" s="1"/>
  <c r="P103" i="1" s="1"/>
  <c r="Q103" i="1" s="1"/>
  <c r="N61" i="1"/>
  <c r="O61" i="1" s="1"/>
  <c r="P61" i="1" s="1"/>
  <c r="Q61" i="1" s="1"/>
  <c r="L50" i="1"/>
  <c r="M50" i="1" s="1"/>
  <c r="N50" i="1" s="1"/>
  <c r="O50" i="1" s="1"/>
  <c r="P50" i="1" s="1"/>
  <c r="Q50" i="1" s="1"/>
  <c r="N62" i="1"/>
  <c r="O62" i="1" s="1"/>
  <c r="P62" i="1" s="1"/>
  <c r="Q62" i="1" s="1"/>
  <c r="N82" i="1"/>
  <c r="O82" i="1" s="1"/>
  <c r="P82" i="1" s="1"/>
  <c r="L98" i="1"/>
  <c r="M98" i="1" s="1"/>
  <c r="N98" i="1" s="1"/>
  <c r="O98" i="1" s="1"/>
  <c r="P98" i="1" s="1"/>
  <c r="Q98" i="1" s="1"/>
  <c r="N112" i="1"/>
  <c r="O112" i="1" s="1"/>
  <c r="P112" i="1" s="1"/>
  <c r="Q112" i="1" s="1"/>
  <c r="N152" i="1"/>
  <c r="O152" i="1" s="1"/>
  <c r="P152" i="1" s="1"/>
  <c r="L169" i="1"/>
  <c r="M169" i="1" s="1"/>
  <c r="N169" i="1"/>
  <c r="O169" i="1" s="1"/>
  <c r="P169" i="1" s="1"/>
  <c r="N32" i="1"/>
  <c r="O32" i="1" s="1"/>
  <c r="P32" i="1" s="1"/>
  <c r="Q32" i="1" s="1"/>
  <c r="N21" i="1"/>
  <c r="O21" i="1" s="1"/>
  <c r="P21" i="1" s="1"/>
  <c r="Q21" i="1" s="1"/>
  <c r="N15" i="1"/>
  <c r="O15" i="1" s="1"/>
  <c r="P15" i="1" s="1"/>
  <c r="Q15" i="1" s="1"/>
  <c r="L134" i="1"/>
  <c r="M134" i="1" s="1"/>
  <c r="N134" i="1" s="1"/>
  <c r="O134" i="1" s="1"/>
  <c r="P134" i="1" s="1"/>
  <c r="Q134" i="1" s="1"/>
  <c r="N159" i="1"/>
  <c r="O159" i="1" s="1"/>
  <c r="P159" i="1" s="1"/>
  <c r="L160" i="1"/>
  <c r="M160" i="1" s="1"/>
  <c r="N160" i="1" s="1"/>
  <c r="O160" i="1" s="1"/>
  <c r="P160" i="1" s="1"/>
  <c r="L173" i="1"/>
  <c r="M173" i="1" s="1"/>
  <c r="N173" i="1" s="1"/>
  <c r="O173" i="1" s="1"/>
  <c r="P173" i="1" s="1"/>
  <c r="L165" i="1"/>
  <c r="M165" i="1" s="1"/>
  <c r="N165" i="1" s="1"/>
  <c r="O165" i="1" s="1"/>
  <c r="P165" i="1" s="1"/>
  <c r="N23" i="1"/>
  <c r="O23" i="1" s="1"/>
  <c r="P23" i="1" s="1"/>
  <c r="Q23" i="1" s="1"/>
  <c r="N17" i="1"/>
  <c r="O17" i="1" s="1"/>
  <c r="P17" i="1" s="1"/>
  <c r="Q17" i="1" s="1"/>
  <c r="Y78" i="1" l="1"/>
  <c r="Z78" i="1" s="1"/>
  <c r="AA78" i="1" s="1"/>
  <c r="Y82" i="1"/>
  <c r="Z82" i="1" s="1"/>
  <c r="AA82" i="1" s="1"/>
  <c r="Q82" i="1"/>
  <c r="X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Guillem Senmartí</author>
  </authors>
  <commentList>
    <comment ref="D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En l'oferta diu 200 però la gàbia fisicament permet entre 150-175mm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La màquina permet entre 4 i 5 cicles
</t>
        </r>
      </text>
    </comment>
    <comment ref="D1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Guillem Senmartí:</t>
        </r>
        <r>
          <rPr>
            <sz val="9"/>
            <color indexed="81"/>
            <rFont val="Tahoma"/>
            <family val="2"/>
          </rPr>
          <t xml:space="preserve">
Teòricament 205
</t>
        </r>
      </text>
    </comment>
    <comment ref="D1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Guillem Senmartí:</t>
        </r>
        <r>
          <rPr>
            <sz val="9"/>
            <color indexed="81"/>
            <rFont val="Tahoma"/>
            <family val="2"/>
          </rPr>
          <t xml:space="preserve">
Teòricament 150
</t>
        </r>
      </text>
    </comment>
    <comment ref="D2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Guillem Senmartí:</t>
        </r>
        <r>
          <rPr>
            <sz val="9"/>
            <color indexed="81"/>
            <rFont val="Tahoma"/>
            <family val="2"/>
          </rPr>
          <t xml:space="preserve">
Teòricament 205
</t>
        </r>
      </text>
    </comment>
  </commentList>
</comments>
</file>

<file path=xl/sharedStrings.xml><?xml version="1.0" encoding="utf-8"?>
<sst xmlns="http://schemas.openxmlformats.org/spreadsheetml/2006/main" count="625" uniqueCount="298">
  <si>
    <t>Nºgàbies</t>
  </si>
  <si>
    <t>a(mm)</t>
  </si>
  <si>
    <t>b(mm)</t>
  </si>
  <si>
    <t>h(mm)</t>
  </si>
  <si>
    <t>V(mm3)</t>
  </si>
  <si>
    <t>Coef. Seguretat</t>
  </si>
  <si>
    <t>Qtt per cicle</t>
  </si>
  <si>
    <t>Nºcicles/h</t>
  </si>
  <si>
    <t>036/21</t>
  </si>
  <si>
    <t>077/21</t>
  </si>
  <si>
    <t>Ref</t>
  </si>
  <si>
    <t>Capacitat màquina</t>
  </si>
  <si>
    <t>Comentari</t>
  </si>
  <si>
    <t>Volum anual</t>
  </si>
  <si>
    <t>Oferta</t>
  </si>
  <si>
    <t>361/20</t>
  </si>
  <si>
    <t>Capacitat en kg</t>
  </si>
  <si>
    <t>Qtt per gàbia teòric</t>
  </si>
  <si>
    <t>Pes per cicle teoric (kg)</t>
  </si>
  <si>
    <t>Pes per cicle real ( kg )</t>
  </si>
  <si>
    <t>Qtt real per gàbia real</t>
  </si>
  <si>
    <t>Pes net peça (kg)</t>
  </si>
  <si>
    <t>Prod/h real</t>
  </si>
  <si>
    <t>CARACTERÍSTIQUES FÍSIQUES PEÇA</t>
  </si>
  <si>
    <t>INFO COMERCIAL</t>
  </si>
  <si>
    <t>PRODUCTIVITAT</t>
  </si>
  <si>
    <t>V gàbia(mm3)</t>
  </si>
  <si>
    <t>V cicle (mm3)</t>
  </si>
  <si>
    <t>Màquina neteja partícules</t>
  </si>
  <si>
    <t>Màquina S525</t>
  </si>
  <si>
    <t>Màquina KSW</t>
  </si>
  <si>
    <t>Màquina/Embalatge</t>
  </si>
  <si>
    <t>CÀLCUL QUANTITATS PER VOLUM</t>
  </si>
  <si>
    <t>B3</t>
  </si>
  <si>
    <t>Revisió</t>
  </si>
  <si>
    <t>CÀRREGA MÀQUINA</t>
  </si>
  <si>
    <t>092/21</t>
  </si>
  <si>
    <t>A014Y303</t>
  </si>
  <si>
    <t>B1</t>
  </si>
  <si>
    <t>Ref 1572</t>
  </si>
  <si>
    <t>Ref 2263</t>
  </si>
  <si>
    <t>Ref 3414 SOGEFI</t>
  </si>
  <si>
    <t>141/21</t>
  </si>
  <si>
    <t>B2</t>
  </si>
  <si>
    <t>Ref 3411</t>
  </si>
  <si>
    <t>Ref 3412</t>
  </si>
  <si>
    <t>Ref 3413</t>
  </si>
  <si>
    <t>Ref 3414</t>
  </si>
  <si>
    <t>Ref 3118</t>
  </si>
  <si>
    <t>KLT 4314</t>
  </si>
  <si>
    <t>189/21</t>
  </si>
  <si>
    <t>5-231131-613</t>
  </si>
  <si>
    <t>5-231131-611</t>
  </si>
  <si>
    <t>188/21</t>
  </si>
  <si>
    <t>X657889500A-00-01</t>
  </si>
  <si>
    <t>224/21</t>
  </si>
  <si>
    <t>Màquina neteja partícules gran</t>
  </si>
  <si>
    <t>250/21</t>
  </si>
  <si>
    <t>253/21</t>
  </si>
  <si>
    <t>255/21</t>
  </si>
  <si>
    <t>X6557446 / X6557447</t>
  </si>
  <si>
    <t>267/21</t>
  </si>
  <si>
    <t>3428 5800 B</t>
  </si>
  <si>
    <t>250/21 ( Rev.1 )</t>
  </si>
  <si>
    <t>175/20</t>
  </si>
  <si>
    <t>330/21</t>
  </si>
  <si>
    <t>350/21</t>
  </si>
  <si>
    <t>Bac 900 ( B2 )</t>
  </si>
  <si>
    <t>Bac 901 ( B3 )</t>
  </si>
  <si>
    <t>344/21</t>
  </si>
  <si>
    <t>6347198 002</t>
  </si>
  <si>
    <t>337/21</t>
  </si>
  <si>
    <t>3136916-AA0</t>
  </si>
  <si>
    <t>017/22</t>
  </si>
  <si>
    <t>A022B337A</t>
  </si>
  <si>
    <t>005/22</t>
  </si>
  <si>
    <t>071/22</t>
  </si>
  <si>
    <t>A023F663 B00</t>
  </si>
  <si>
    <t>108/22</t>
  </si>
  <si>
    <t>135/22</t>
  </si>
  <si>
    <t>A0053Y5698A</t>
  </si>
  <si>
    <t>Ref 2753</t>
  </si>
  <si>
    <t>658063600_660632800</t>
  </si>
  <si>
    <t>121/22</t>
  </si>
  <si>
    <t>3138417-1</t>
  </si>
  <si>
    <t>177/22</t>
  </si>
  <si>
    <t>H18326-050</t>
  </si>
  <si>
    <t>KLT 6147</t>
  </si>
  <si>
    <t>H18324-050</t>
  </si>
  <si>
    <t>H18328-050</t>
  </si>
  <si>
    <t>137/22</t>
  </si>
  <si>
    <t>X6598634-00</t>
  </si>
  <si>
    <t>142/22</t>
  </si>
  <si>
    <t>3100585 AA2</t>
  </si>
  <si>
    <t>3111959-0</t>
  </si>
  <si>
    <t>269/22</t>
  </si>
  <si>
    <t>E86028-050</t>
  </si>
  <si>
    <t>322/22</t>
  </si>
  <si>
    <t>261/22</t>
  </si>
  <si>
    <t>343/21</t>
  </si>
  <si>
    <t>374/22</t>
  </si>
  <si>
    <t>A0051T9411 A</t>
  </si>
  <si>
    <t>370/22</t>
  </si>
  <si>
    <t>017/23</t>
  </si>
  <si>
    <t>022/23</t>
  </si>
  <si>
    <t>015/23</t>
  </si>
  <si>
    <t>A022L795A</t>
  </si>
  <si>
    <t>A022L799A</t>
  </si>
  <si>
    <t>024/23</t>
  </si>
  <si>
    <t>6546522 002</t>
  </si>
  <si>
    <t>068/23</t>
  </si>
  <si>
    <t>6238637 001</t>
  </si>
  <si>
    <t>155/23</t>
  </si>
  <si>
    <t>307904410-AA3</t>
  </si>
  <si>
    <t>138/23</t>
  </si>
  <si>
    <t>M002025-00 (+)</t>
  </si>
  <si>
    <t>M002026-00 (-)</t>
  </si>
  <si>
    <t>1102  327 058 DES001</t>
  </si>
  <si>
    <t>1087 327 229 DES001</t>
  </si>
  <si>
    <t>1094 327 139 DES001</t>
  </si>
  <si>
    <t>1102 327 008 DES001</t>
  </si>
  <si>
    <t>1087 327 192 DES001</t>
  </si>
  <si>
    <t>1094 327 112 DES001</t>
  </si>
  <si>
    <t>398/20</t>
  </si>
  <si>
    <t>0168 227 010 DES001</t>
  </si>
  <si>
    <t>176/21</t>
  </si>
  <si>
    <t>E10459429 A</t>
  </si>
  <si>
    <t>A0026V5899 D</t>
  </si>
  <si>
    <t>A0018E8508</t>
  </si>
  <si>
    <t>99000530_DES001</t>
  </si>
  <si>
    <t>1068 327 152 DES001</t>
  </si>
  <si>
    <t>Màquina perclor ( VAIOC )</t>
  </si>
  <si>
    <t>V/h (mm3)</t>
  </si>
  <si>
    <t>KPM 800 MAX - Desengreix</t>
  </si>
  <si>
    <t>KPM 800 MAX - Neteja partícules</t>
  </si>
  <si>
    <t>KPM 800 MAX - Oliat</t>
  </si>
  <si>
    <t>51006612 - 6553929</t>
  </si>
  <si>
    <t>Dades contrastades realment. 350 x gàbia.</t>
  </si>
  <si>
    <t>HORES</t>
  </si>
  <si>
    <t>51006731 - 3118675</t>
  </si>
  <si>
    <t>Dades contrastades realment. 600 x gàbia.</t>
  </si>
  <si>
    <t>Estalvi h</t>
  </si>
  <si>
    <t>€ MOD</t>
  </si>
  <si>
    <t>SAP</t>
  </si>
  <si>
    <t>Escandall SOME</t>
  </si>
  <si>
    <t>344/19</t>
  </si>
  <si>
    <t>En línea</t>
  </si>
  <si>
    <t>Mides matriu 1000 x 840</t>
  </si>
  <si>
    <t>Tensió superficial</t>
  </si>
  <si>
    <t>DESENGREIX</t>
  </si>
  <si>
    <t>NETEJA</t>
  </si>
  <si>
    <t>REQUERIMENTS SUPERFÍCIALS</t>
  </si>
  <si>
    <t>Hard Metallic</t>
  </si>
  <si>
    <t>Hard Non-Metallic</t>
  </si>
  <si>
    <t>Fibres</t>
  </si>
  <si>
    <t>Residu en mg/100g peça</t>
  </si>
  <si>
    <t>Gravimetria</t>
  </si>
  <si>
    <t>Mida partícula (µm)</t>
  </si>
  <si>
    <t>OLIAT</t>
  </si>
  <si>
    <t>SI/NO</t>
  </si>
  <si>
    <t>N·m-1</t>
  </si>
  <si>
    <t>OK</t>
  </si>
  <si>
    <t>NO</t>
  </si>
  <si>
    <t>?</t>
  </si>
  <si>
    <t>Oliat</t>
  </si>
  <si>
    <t>DADES PEÇA</t>
  </si>
  <si>
    <t>DESENGREIX (N·m-1)</t>
  </si>
  <si>
    <t>Càrrega màquina</t>
  </si>
  <si>
    <t>Màquina</t>
  </si>
  <si>
    <t>SI</t>
  </si>
  <si>
    <t>PRESTACIONS MÀQUINA</t>
  </si>
  <si>
    <t>Residu en mg/100g</t>
  </si>
  <si>
    <t>REQUERIMENTS PEÇA</t>
  </si>
  <si>
    <t>Important mantenir un baix nivell de rebava a la peça o matar canto, principal font de generació de partícules.</t>
  </si>
  <si>
    <t>Una peça pot quedar encapsulada dins d'una altre? (SI/NO)</t>
  </si>
  <si>
    <t>51005860A</t>
  </si>
  <si>
    <t>Referència</t>
  </si>
  <si>
    <t>Quantitat gàbia</t>
  </si>
  <si>
    <t>Programa</t>
  </si>
  <si>
    <t>Foto (X)</t>
  </si>
  <si>
    <t>Temps cicle (min)</t>
  </si>
  <si>
    <t>RECOLLIDA DADES DESENGREIX VAIOC</t>
  </si>
  <si>
    <t>*Avisar a preparador per fer foto de la gàbia plena. Servirà per crear les especificacions de preparació.</t>
  </si>
  <si>
    <t>298/232</t>
  </si>
  <si>
    <t>A0057D0650</t>
  </si>
  <si>
    <t>H</t>
  </si>
  <si>
    <t>I</t>
  </si>
  <si>
    <t>J</t>
  </si>
  <si>
    <t>352/23</t>
  </si>
  <si>
    <t>A030L182</t>
  </si>
  <si>
    <t>348/23</t>
  </si>
  <si>
    <t>358/23</t>
  </si>
  <si>
    <t>BUSBAR CELL</t>
  </si>
  <si>
    <t>BUSBAR NEGATIVE</t>
  </si>
  <si>
    <t>BUSBAR POSITIVE</t>
  </si>
  <si>
    <t>307/23</t>
  </si>
  <si>
    <t>BRACKET</t>
  </si>
  <si>
    <t>310/23</t>
  </si>
  <si>
    <t>STEEL CUP</t>
  </si>
  <si>
    <t>355/23</t>
  </si>
  <si>
    <t>HOUSING ASSY</t>
  </si>
  <si>
    <t>422/23</t>
  </si>
  <si>
    <t>451/23</t>
  </si>
  <si>
    <t>MOUNTING BRACKET</t>
  </si>
  <si>
    <t>463/23</t>
  </si>
  <si>
    <t>466/23</t>
  </si>
  <si>
    <t>BUSBAR CELL TO CELL</t>
  </si>
  <si>
    <t>TER BUSBAR AL Pos 2</t>
  </si>
  <si>
    <t>TER BUSBAR AL Pos 3</t>
  </si>
  <si>
    <t>TER BUSBAR AL Pos 4</t>
  </si>
  <si>
    <t>TER BUSBAR CU Pos 5</t>
  </si>
  <si>
    <t>TER BUSBAR CU Pos 6</t>
  </si>
  <si>
    <t>TER BUSBAR CU Pos 7</t>
  </si>
  <si>
    <t>428/23</t>
  </si>
  <si>
    <t>DEFLECTOR</t>
  </si>
  <si>
    <t>429/23</t>
  </si>
  <si>
    <t>285/23</t>
  </si>
  <si>
    <t>286/23</t>
  </si>
  <si>
    <t>287/23</t>
  </si>
  <si>
    <t>66190592C</t>
  </si>
  <si>
    <t>623310700B</t>
  </si>
  <si>
    <t>647319000A</t>
  </si>
  <si>
    <t>022/24</t>
  </si>
  <si>
    <t>LOWER BRACKET</t>
  </si>
  <si>
    <t>078/24</t>
  </si>
  <si>
    <t>LU HEAT</t>
  </si>
  <si>
    <t>099/24</t>
  </si>
  <si>
    <t>HALTER</t>
  </si>
  <si>
    <t>121/24</t>
  </si>
  <si>
    <t>COVER</t>
  </si>
  <si>
    <t>104/24</t>
  </si>
  <si>
    <t>091/24</t>
  </si>
  <si>
    <t>MOUNTING BRACKET C JUMP</t>
  </si>
  <si>
    <t>092/24</t>
  </si>
  <si>
    <t>101/24</t>
  </si>
  <si>
    <t>RETAINER</t>
  </si>
  <si>
    <t>107/24</t>
  </si>
  <si>
    <t>BASE</t>
  </si>
  <si>
    <t>429/24</t>
  </si>
  <si>
    <t>170/24</t>
  </si>
  <si>
    <t>114/24</t>
  </si>
  <si>
    <t>RETAINER RING</t>
  </si>
  <si>
    <t>114/25</t>
  </si>
  <si>
    <t>198/24</t>
  </si>
  <si>
    <t>BRACKET SUPPORT</t>
  </si>
  <si>
    <t>En posarem 50</t>
  </si>
  <si>
    <t>REINFORCEMENT BACKREST</t>
  </si>
  <si>
    <t>203/24</t>
  </si>
  <si>
    <t>INFLATOR BRACKET</t>
  </si>
  <si>
    <t>195/24</t>
  </si>
  <si>
    <t>LOCKING PLATE</t>
  </si>
  <si>
    <t>Heson</t>
  </si>
  <si>
    <t>216/24</t>
  </si>
  <si>
    <t>258/24</t>
  </si>
  <si>
    <t>H8C7Q6</t>
  </si>
  <si>
    <t>208/24</t>
  </si>
  <si>
    <t>BASE R200.2 ( RPLL S )</t>
  </si>
  <si>
    <t>275/24</t>
  </si>
  <si>
    <t>003/23</t>
  </si>
  <si>
    <t>LUGHANGER</t>
  </si>
  <si>
    <t>262/24</t>
  </si>
  <si>
    <t>PLATE</t>
  </si>
  <si>
    <t>104/24 ( Rev. 01 )</t>
  </si>
  <si>
    <t>BRACKET JUMP</t>
  </si>
  <si>
    <t>267/24</t>
  </si>
  <si>
    <t>273/24</t>
  </si>
  <si>
    <t>SPACER</t>
  </si>
  <si>
    <t>283/24</t>
  </si>
  <si>
    <t>284/24</t>
  </si>
  <si>
    <t>METAL LOCKING</t>
  </si>
  <si>
    <t>ATTACHEMENT PLATE</t>
  </si>
  <si>
    <t>009/25</t>
  </si>
  <si>
    <t>SOLENOID HOUSING</t>
  </si>
  <si>
    <t>335/24</t>
  </si>
  <si>
    <t>BRACKET LH ( R000W058B )</t>
  </si>
  <si>
    <t>BRACKET RH ( R000W057B )</t>
  </si>
  <si>
    <t>BRACKET LH (R000V065A_B )</t>
  </si>
  <si>
    <t>BRACKET LH ( R000V065A_B )</t>
  </si>
  <si>
    <t>BRACKET RH ( R000V064A_B )</t>
  </si>
  <si>
    <t>BRACKET RH (R000V064A_B )</t>
  </si>
  <si>
    <t>006/25</t>
  </si>
  <si>
    <t>BRACKET MODULE</t>
  </si>
  <si>
    <t>003/25</t>
  </si>
  <si>
    <t>337/24</t>
  </si>
  <si>
    <t>012/25</t>
  </si>
  <si>
    <t>COVER DUST</t>
  </si>
  <si>
    <t>034/25</t>
  </si>
  <si>
    <t>018/25</t>
  </si>
  <si>
    <t>280/23</t>
  </si>
  <si>
    <t>665111200C</t>
  </si>
  <si>
    <t>349/23</t>
  </si>
  <si>
    <t>062/25</t>
  </si>
  <si>
    <t>23/25</t>
  </si>
  <si>
    <t>X6699676 000</t>
  </si>
  <si>
    <t>X6699663 00-00</t>
  </si>
  <si>
    <t>24/25</t>
  </si>
  <si>
    <t>177/25</t>
  </si>
  <si>
    <t>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</si>
</sst>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  <numFmt numFmtId="165" formatCode="0.0000000"/>
    <numFmt numFmtId="166" formatCode="_-* #,##0.00\ _€_-;\-* #,##0.00\ _€_-;_-* &quot;-&quot;??\ _€_-;_-@_-"/>
    <numFmt numFmtId="167" formatCode="_-* #,##0.00\ [$€]_-;\-* #,##0.00\ [$€]_-;_-* &quot;-&quot;??\ [$€]_-;_-@_-"/>
    <numFmt numFmtId="168" formatCode="_-* #,##0.00\ [$€-1]_-;\-* #,##0.00\ [$€-1]_-;_-* &quot;-&quot;??\ [$€-1]_-"/>
    <numFmt numFmtId="169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ZF Sans"/>
      <family val="2"/>
    </font>
    <font>
      <sz val="10"/>
      <name val="Arial"/>
      <family val="2"/>
    </font>
    <font>
      <sz val="11"/>
      <color theme="1"/>
      <name val="Tahoma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</borders>
  <cellStyleXfs count="73">
    <xf numFmtId="0" fontId="0" fillId="0" borderId="0"/>
    <xf numFmtId="9" fontId="1" fillId="0" borderId="0" applyFont="0" applyFill="0" applyBorder="0" applyAlignment="0" applyProtection="0"/>
    <xf numFmtId="0" fontId="1" fillId="5" borderId="2" applyNumberFormat="0" applyFont="0" applyAlignment="0" applyProtection="0"/>
    <xf numFmtId="0" fontId="14" fillId="0" borderId="0"/>
    <xf numFmtId="9" fontId="14" fillId="0" borderId="0" applyFont="0" applyFill="0" applyBorder="0" applyAlignment="0" applyProtection="0"/>
    <xf numFmtId="0" fontId="15" fillId="0" borderId="0"/>
    <xf numFmtId="0" fontId="15" fillId="0" borderId="0"/>
    <xf numFmtId="0" fontId="1" fillId="5" borderId="2" applyNumberFormat="0" applyFont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167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5" borderId="2" applyNumberFormat="0" applyFont="0" applyAlignment="0" applyProtection="0"/>
    <xf numFmtId="0" fontId="15" fillId="0" borderId="0"/>
    <xf numFmtId="4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5" borderId="2" applyNumberFormat="0" applyFont="0" applyAlignment="0" applyProtection="0"/>
    <xf numFmtId="4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5" borderId="2" applyNumberFormat="0" applyFont="0" applyAlignment="0" applyProtection="0"/>
    <xf numFmtId="4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0"/>
    <xf numFmtId="168" fontId="1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44" fontId="15" fillId="0" borderId="0" applyFont="0" applyFill="0" applyBorder="0" applyAlignment="0" applyProtection="0"/>
    <xf numFmtId="0" fontId="16" fillId="0" borderId="0"/>
    <xf numFmtId="0" fontId="15" fillId="0" borderId="0"/>
    <xf numFmtId="43" fontId="1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0" fontId="16" fillId="0" borderId="0"/>
    <xf numFmtId="0" fontId="15" fillId="0" borderId="0"/>
    <xf numFmtId="44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44" fontId="1" fillId="0" borderId="0" applyFont="0" applyFill="0" applyBorder="0" applyAlignment="0" applyProtection="0"/>
    <xf numFmtId="0" fontId="15" fillId="0" borderId="0"/>
    <xf numFmtId="0" fontId="16" fillId="0" borderId="0"/>
    <xf numFmtId="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4" fontId="1" fillId="0" borderId="0" applyFont="0" applyFill="0" applyBorder="0" applyAlignment="0" applyProtection="0"/>
  </cellStyleXfs>
  <cellXfs count="187">
    <xf numFmtId="0" fontId="0" fillId="0" borderId="0" xfId="0"/>
    <xf numFmtId="0" fontId="0" fillId="0" borderId="1" xfId="0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5" borderId="2" xfId="2" applyNumberFormat="1" applyFont="1" applyAlignment="1">
      <alignment horizontal="center" vertical="center"/>
    </xf>
    <xf numFmtId="1" fontId="0" fillId="5" borderId="4" xfId="2" applyNumberFormat="1" applyFont="1" applyBorder="1" applyAlignment="1">
      <alignment horizontal="center" vertical="center"/>
    </xf>
    <xf numFmtId="1" fontId="0" fillId="5" borderId="17" xfId="2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 wrapText="1"/>
    </xf>
    <xf numFmtId="1" fontId="8" fillId="5" borderId="18" xfId="2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5" borderId="1" xfId="2" applyFont="1" applyBorder="1" applyAlignment="1">
      <alignment horizontal="center"/>
    </xf>
    <xf numFmtId="0" fontId="0" fillId="5" borderId="5" xfId="2" applyFont="1" applyBorder="1" applyAlignment="1">
      <alignment horizontal="center"/>
    </xf>
    <xf numFmtId="1" fontId="0" fillId="0" borderId="0" xfId="2" applyNumberFormat="1" applyFont="1" applyFill="1" applyBorder="1" applyAlignment="1">
      <alignment horizontal="center" vertical="center"/>
    </xf>
    <xf numFmtId="164" fontId="0" fillId="5" borderId="2" xfId="2" applyNumberFormat="1" applyFont="1" applyAlignment="1">
      <alignment horizontal="center" vertical="center"/>
    </xf>
    <xf numFmtId="1" fontId="0" fillId="5" borderId="24" xfId="2" applyNumberFormat="1" applyFont="1" applyBorder="1" applyAlignment="1">
      <alignment horizontal="center" vertical="center"/>
    </xf>
    <xf numFmtId="9" fontId="0" fillId="0" borderId="27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0" fontId="9" fillId="13" borderId="23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" fontId="2" fillId="5" borderId="2" xfId="2" applyNumberFormat="1" applyFont="1" applyAlignment="1">
      <alignment horizontal="center" vertical="center"/>
    </xf>
    <xf numFmtId="3" fontId="0" fillId="5" borderId="24" xfId="2" applyNumberFormat="1" applyFont="1" applyBorder="1" applyAlignment="1">
      <alignment horizontal="center" vertical="center"/>
    </xf>
    <xf numFmtId="3" fontId="0" fillId="5" borderId="2" xfId="2" applyNumberFormat="1" applyFont="1" applyAlignment="1">
      <alignment horizontal="center" vertical="center"/>
    </xf>
    <xf numFmtId="3" fontId="2" fillId="5" borderId="2" xfId="2" applyNumberFormat="1" applyFont="1" applyAlignment="1">
      <alignment horizontal="center" vertical="center"/>
    </xf>
    <xf numFmtId="3" fontId="0" fillId="5" borderId="4" xfId="2" applyNumberFormat="1" applyFont="1" applyBorder="1" applyAlignment="1">
      <alignment horizontal="center" vertical="center"/>
    </xf>
    <xf numFmtId="3" fontId="8" fillId="5" borderId="20" xfId="2" applyNumberFormat="1" applyFont="1" applyBorder="1" applyAlignment="1">
      <alignment horizontal="center" vertical="center"/>
    </xf>
    <xf numFmtId="3" fontId="2" fillId="4" borderId="10" xfId="0" applyNumberFormat="1" applyFont="1" applyFill="1" applyBorder="1" applyAlignment="1">
      <alignment horizontal="center" vertical="center" wrapText="1"/>
    </xf>
    <xf numFmtId="4" fontId="2" fillId="9" borderId="12" xfId="0" applyNumberFormat="1" applyFont="1" applyFill="1" applyBorder="1" applyAlignment="1">
      <alignment horizontal="center" vertical="center" wrapText="1"/>
    </xf>
    <xf numFmtId="4" fontId="0" fillId="5" borderId="18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9" fontId="0" fillId="6" borderId="28" xfId="1" applyFont="1" applyFill="1" applyBorder="1" applyAlignment="1">
      <alignment horizontal="center" vertical="center"/>
    </xf>
    <xf numFmtId="0" fontId="0" fillId="6" borderId="1" xfId="0" applyFill="1" applyBorder="1"/>
    <xf numFmtId="3" fontId="0" fillId="5" borderId="1" xfId="2" applyNumberFormat="1" applyFont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5" borderId="0" xfId="2" applyFont="1" applyBorder="1" applyAlignment="1">
      <alignment horizontal="center"/>
    </xf>
    <xf numFmtId="1" fontId="0" fillId="0" borderId="0" xfId="0" applyNumberFormat="1"/>
    <xf numFmtId="44" fontId="0" fillId="0" borderId="0" xfId="72" applyFont="1"/>
    <xf numFmtId="3" fontId="8" fillId="2" borderId="20" xfId="2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3" fontId="0" fillId="15" borderId="3" xfId="0" applyNumberFormat="1" applyFill="1" applyBorder="1" applyAlignment="1">
      <alignment horizontal="center" vertical="center"/>
    </xf>
    <xf numFmtId="1" fontId="0" fillId="15" borderId="16" xfId="0" applyNumberFormat="1" applyFill="1" applyBorder="1" applyAlignment="1">
      <alignment horizontal="center" vertical="center"/>
    </xf>
    <xf numFmtId="1" fontId="0" fillId="15" borderId="1" xfId="0" applyNumberFormat="1" applyFill="1" applyBorder="1" applyAlignment="1">
      <alignment horizontal="center" vertical="center"/>
    </xf>
    <xf numFmtId="165" fontId="0" fillId="15" borderId="3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1" fontId="13" fillId="5" borderId="18" xfId="2" applyNumberFormat="1" applyFont="1" applyBorder="1" applyAlignment="1">
      <alignment horizontal="center" vertical="center"/>
    </xf>
    <xf numFmtId="1" fontId="0" fillId="5" borderId="0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4" borderId="32" xfId="0" applyFont="1" applyFill="1" applyBorder="1" applyAlignment="1">
      <alignment horizontal="center" vertical="center" wrapText="1"/>
    </xf>
    <xf numFmtId="0" fontId="18" fillId="16" borderId="30" xfId="0" applyFont="1" applyFill="1" applyBorder="1" applyAlignment="1">
      <alignment horizontal="center" vertical="center"/>
    </xf>
    <xf numFmtId="0" fontId="22" fillId="4" borderId="32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2" fontId="0" fillId="5" borderId="2" xfId="2" applyNumberFormat="1" applyFont="1" applyAlignment="1">
      <alignment horizontal="center" vertical="center"/>
    </xf>
    <xf numFmtId="2" fontId="0" fillId="5" borderId="0" xfId="2" applyNumberFormat="1" applyFont="1" applyBorder="1" applyAlignment="1">
      <alignment horizontal="center" vertical="center"/>
    </xf>
    <xf numFmtId="0" fontId="19" fillId="16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24" fillId="4" borderId="30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3" fontId="2" fillId="4" borderId="41" xfId="0" applyNumberFormat="1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horizontal="center" vertical="center" wrapText="1"/>
    </xf>
    <xf numFmtId="4" fontId="2" fillId="9" borderId="19" xfId="0" applyNumberFormat="1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5" borderId="1" xfId="2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18" fillId="16" borderId="0" xfId="0" applyFont="1" applyFill="1" applyAlignment="1">
      <alignment vertical="center"/>
    </xf>
    <xf numFmtId="0" fontId="18" fillId="16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0" fillId="5" borderId="2" xfId="2" applyFont="1" applyAlignment="1" applyProtection="1">
      <alignment horizontal="center" vertical="center"/>
      <protection locked="0"/>
    </xf>
    <xf numFmtId="0" fontId="0" fillId="5" borderId="2" xfId="2" applyFont="1" applyAlignment="1" applyProtection="1">
      <alignment horizontal="center" vertical="center" wrapText="1"/>
      <protection locked="0"/>
    </xf>
    <xf numFmtId="9" fontId="0" fillId="5" borderId="2" xfId="2" applyNumberFormat="1" applyFont="1" applyAlignment="1" applyProtection="1">
      <alignment horizontal="center" vertical="center"/>
      <protection locked="0"/>
    </xf>
    <xf numFmtId="0" fontId="0" fillId="5" borderId="24" xfId="2" applyFont="1" applyBorder="1" applyAlignment="1" applyProtection="1">
      <alignment horizontal="center" vertical="center"/>
      <protection locked="0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69" fontId="0" fillId="0" borderId="1" xfId="0" applyNumberFormat="1" applyBorder="1" applyAlignment="1">
      <alignment horizontal="center" vertical="center"/>
    </xf>
    <xf numFmtId="1" fontId="0" fillId="5" borderId="43" xfId="2" applyNumberFormat="1" applyFont="1" applyBorder="1" applyAlignment="1">
      <alignment horizontal="center" vertical="center"/>
    </xf>
    <xf numFmtId="169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8" fillId="16" borderId="29" xfId="0" applyFont="1" applyFill="1" applyBorder="1" applyAlignment="1">
      <alignment horizontal="center" vertical="center"/>
    </xf>
    <xf numFmtId="0" fontId="18" fillId="16" borderId="21" xfId="0" applyFont="1" applyFill="1" applyBorder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9" fontId="8" fillId="5" borderId="1" xfId="1" applyFont="1" applyFill="1" applyBorder="1" applyAlignment="1">
      <alignment horizontal="center" vertical="center"/>
    </xf>
    <xf numFmtId="9" fontId="8" fillId="5" borderId="3" xfId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5" borderId="2" xfId="2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4" borderId="42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9" fillId="16" borderId="29" xfId="0" applyFont="1" applyFill="1" applyBorder="1" applyAlignment="1">
      <alignment horizontal="center" vertical="center"/>
    </xf>
    <xf numFmtId="0" fontId="19" fillId="16" borderId="21" xfId="0" applyFont="1" applyFill="1" applyBorder="1" applyAlignment="1">
      <alignment horizontal="center" vertical="center"/>
    </xf>
    <xf numFmtId="0" fontId="19" fillId="16" borderId="19" xfId="0" applyFont="1" applyFill="1" applyBorder="1" applyAlignment="1">
      <alignment horizontal="center" vertical="center"/>
    </xf>
  </cellXfs>
  <cellStyles count="73">
    <cellStyle name="Euro" xfId="11" xr:uid="{7C81FB53-9564-428E-8445-CDA6A7C58C6C}"/>
    <cellStyle name="Euro 2" xfId="50" xr:uid="{60351119-D44F-48A2-B285-829B3216E7EB}"/>
    <cellStyle name="Euro 2 2" xfId="45" xr:uid="{DB17BFD0-4997-4775-B5EB-E56FFB9E435D}"/>
    <cellStyle name="Euro 2 3" xfId="53" xr:uid="{89043487-FE4A-457A-B703-C96DEDE3595A}"/>
    <cellStyle name="Euro 3" xfId="38" xr:uid="{4B14F39F-7446-445C-878C-4D0624E253F0}"/>
    <cellStyle name="Hyperlink 2" xfId="43" xr:uid="{E7FB07A3-9610-4CFE-B286-97FD27D8F09D}"/>
    <cellStyle name="Komma 2" xfId="14" xr:uid="{8D35D214-4723-431F-9D8D-F8053C46B486}"/>
    <cellStyle name="Komma 2 2" xfId="21" xr:uid="{37433660-A23F-4E14-ACF1-BC306EB70AA0}"/>
    <cellStyle name="Komma 2 2 2" xfId="33" xr:uid="{A7E2D6A0-994E-458C-8B10-5604EE872F59}"/>
    <cellStyle name="Komma 2 3" xfId="27" xr:uid="{7FB5283E-CD78-41E6-BAFF-C386FDD3B21B}"/>
    <cellStyle name="Komma 2 4" xfId="68" xr:uid="{C08B6EA1-2D4A-4EED-BED3-3B44E2DF829C}"/>
    <cellStyle name="Komma 3" xfId="15" xr:uid="{7B94B8BD-7C54-4F3B-A909-39EBC0B22357}"/>
    <cellStyle name="Komma 3 2" xfId="22" xr:uid="{BBC7B9F7-0CCE-4AF0-905F-40731050F5FD}"/>
    <cellStyle name="Komma 3 2 2" xfId="34" xr:uid="{70E5B566-EDE7-4A5F-863A-0CEC7648B395}"/>
    <cellStyle name="Komma 3 3" xfId="28" xr:uid="{9F91E1FF-68A5-48FF-8277-EDF62C935C5F}"/>
    <cellStyle name="Komma 3 4" xfId="59" xr:uid="{39C5C4E4-6A4D-4431-907B-9791412D27F9}"/>
    <cellStyle name="Millares 2" xfId="23" xr:uid="{5810EFA4-0F3A-46F7-A65F-F59995238A8B}"/>
    <cellStyle name="Millares 2 2" xfId="35" xr:uid="{8F3B1BAC-F682-48DC-9622-635058FF5CB8}"/>
    <cellStyle name="Millares 3" xfId="29" xr:uid="{9E0179A7-C443-4EF3-A621-60B38EB0ECE3}"/>
    <cellStyle name="Millares 4" xfId="16" xr:uid="{1BA5BC47-58D3-4CD3-A727-078D6C367800}"/>
    <cellStyle name="Millares 5" xfId="48" xr:uid="{E63FA555-0394-40A4-B4E2-C145CDF15752}"/>
    <cellStyle name="Moneda" xfId="72" builtinId="4"/>
    <cellStyle name="Moneda 2" xfId="24" xr:uid="{15147B67-42E4-458B-AAF8-B16C1B44FB01}"/>
    <cellStyle name="Moneda 2 2" xfId="36" xr:uid="{73B9C185-D420-4430-9413-B86084956A5D}"/>
    <cellStyle name="Moneda 3" xfId="30" xr:uid="{9C11E66E-6DD5-4EFB-B5AF-4AB0190F0B01}"/>
    <cellStyle name="Moneda 4" xfId="17" xr:uid="{0FE638C3-19D7-4A0D-A93A-904182B1A665}"/>
    <cellStyle name="Normal" xfId="0" builtinId="0"/>
    <cellStyle name="Normal 2" xfId="3" xr:uid="{F35EE76F-5D8A-4075-993F-F60E050EE3BE}"/>
    <cellStyle name="Normal 3" xfId="70" xr:uid="{F015822D-963D-4402-98C5-467736998A81}"/>
    <cellStyle name="Normál_DRAFT Calculation Scheme" xfId="6" xr:uid="{F3B52E02-C143-4FC1-B61F-0B218930D2B2}"/>
    <cellStyle name="Notas" xfId="2" builtinId="10"/>
    <cellStyle name="Notiz 2" xfId="7" xr:uid="{FB9093E0-5767-4282-91DC-EA5867ACD12C}"/>
    <cellStyle name="Notiz 2 2" xfId="18" xr:uid="{1CDD1BDD-0F34-4D1F-B89C-F993031EAF0C}"/>
    <cellStyle name="Notiz 2 2 2" xfId="31" xr:uid="{5159C449-D2F6-448F-A890-C964D22E6937}"/>
    <cellStyle name="Notiz 2 3" xfId="25" xr:uid="{12C83ADB-C635-4FC2-B45C-BE6F9BFC9BB8}"/>
    <cellStyle name="Porcentaje" xfId="1" builtinId="5"/>
    <cellStyle name="Porcentaje 2" xfId="4" xr:uid="{0B70D362-FC40-4AE2-B917-31FB5589ACF1}"/>
    <cellStyle name="Prozent 2" xfId="12" xr:uid="{6313559F-5D13-440D-A0F6-20E70154C670}"/>
    <cellStyle name="Prozent 2 2" xfId="67" xr:uid="{10146E99-7A80-4B65-8B9C-C798597C6D10}"/>
    <cellStyle name="Prozent 2 3" xfId="55" xr:uid="{A82EDE38-1B61-493E-A19E-3F120627C6B3}"/>
    <cellStyle name="Prozent 2 4" xfId="54" xr:uid="{D90B2CC8-1322-4862-94AB-F9305361F045}"/>
    <cellStyle name="Separador de milhares_Price GM RPU" xfId="8" xr:uid="{2250B0F5-694F-43AE-A6F9-FDC3846CF2FF}"/>
    <cellStyle name="Standard 2" xfId="5" xr:uid="{298FB168-24A2-443E-BEAE-FD35292BABDF}"/>
    <cellStyle name="Standard 2 2" xfId="42" xr:uid="{D47BF694-10E2-461D-940F-7B7512D54192}"/>
    <cellStyle name="Standard 2 2 2" xfId="44" xr:uid="{120B7E78-7707-483C-9A16-1F6A31C122BE}"/>
    <cellStyle name="Standard 2 3" xfId="39" xr:uid="{FE29292D-087B-4D31-A29E-67709841825A}"/>
    <cellStyle name="Standard 3" xfId="9" xr:uid="{6EFBFFF9-FE51-4DB8-A562-32E960495591}"/>
    <cellStyle name="Standard 4" xfId="10" xr:uid="{42744FE3-4238-4B8A-80B7-AB6D49073E32}"/>
    <cellStyle name="Standard 4 2" xfId="19" xr:uid="{B38B635E-5950-43CC-90FE-A4B24F1E094D}"/>
    <cellStyle name="Standard 5" xfId="58" xr:uid="{3236BBCB-B8FF-4228-A509-006610C653C8}"/>
    <cellStyle name="Standard 6" xfId="49" xr:uid="{1516297C-E2DB-43FF-B441-33B795DAD8AF}"/>
    <cellStyle name="Standard 6 2" xfId="63" xr:uid="{8FF5EC0C-7CFE-4DC1-AB0B-D08F24F0D6E3}"/>
    <cellStyle name="Standard 6 3" xfId="47" xr:uid="{1A49D7A2-30CB-4EA3-A135-48B6D39BAE58}"/>
    <cellStyle name="Standard 7" xfId="37" xr:uid="{4045AD19-FF6E-442B-AB30-44D1D13FDF8A}"/>
    <cellStyle name="Standard 7 2" xfId="65" xr:uid="{FA7B15A1-053A-48C6-A270-82906A26ED7E}"/>
    <cellStyle name="Standard 7 3" xfId="52" xr:uid="{8B133639-99F6-4DB6-8916-5A9B00E3CE1C}"/>
    <cellStyle name="Standard 8" xfId="62" xr:uid="{F68EF9FD-B14B-4BC6-97C1-F3B04CDD416A}"/>
    <cellStyle name="Standard 8 2" xfId="61" xr:uid="{58C96FC8-7991-4BDC-BD79-E8ADBD52D183}"/>
    <cellStyle name="Standard 8 2 2" xfId="69" xr:uid="{10C3FEA7-01C3-4AF3-9F85-C9BF1FCCE18A}"/>
    <cellStyle name="Standard 8 2 3" xfId="51" xr:uid="{11108AB0-D45E-4D06-9823-13BA51771990}"/>
    <cellStyle name="Standard 8 3" xfId="66" xr:uid="{13E85691-EC4E-4A91-AF77-5FE534A07AC6}"/>
    <cellStyle name="Standard 8 4" xfId="46" xr:uid="{1E9E51F6-5EAD-454D-91EC-BA2B80F12972}"/>
    <cellStyle name="Standard 8 5" xfId="71" xr:uid="{FD15AB78-00FC-41D7-BCA8-BDA603CFE730}"/>
    <cellStyle name="Standard_5 Anfrageblaetter deutsch 30_08_04" xfId="57" xr:uid="{0FA9B58B-F1F4-48AA-8295-550B5A597EC2}"/>
    <cellStyle name="Währung 2" xfId="13" xr:uid="{9B583794-6AD0-4F51-A43C-F9289A3845AC}"/>
    <cellStyle name="Währung 2 2" xfId="20" xr:uid="{221292C8-4E73-4114-B4C7-F81FAB5DABBE}"/>
    <cellStyle name="Währung 2 2 2" xfId="32" xr:uid="{00257A34-3218-411A-9459-F2A16F4573A5}"/>
    <cellStyle name="Währung 2 2 2 2" xfId="64" xr:uid="{F7EC690C-A8A2-49D6-9469-533475748575}"/>
    <cellStyle name="Währung 2 2 3" xfId="60" xr:uid="{87F97219-20BE-447D-9CF3-4FD072D46B08}"/>
    <cellStyle name="Währung 2 2 4" xfId="40" xr:uid="{1A5CDEA7-F2D3-4AEC-BEF7-89A3BB0870A5}"/>
    <cellStyle name="Währung 2 3" xfId="26" xr:uid="{9814016D-752C-4A41-B687-8345458CAAC6}"/>
    <cellStyle name="Währung 2 4" xfId="56" xr:uid="{421E6939-FB75-4A7E-B65B-1FDFEC3A4C2D}"/>
    <cellStyle name="Währung 2 5" xfId="41" xr:uid="{2336A6C0-1A13-4B90-9C0A-71A9AC99E94D}"/>
  </cellStyles>
  <dxfs count="14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821766</xdr:colOff>
      <xdr:row>0</xdr:row>
      <xdr:rowOff>0</xdr:rowOff>
    </xdr:from>
    <xdr:to>
      <xdr:col>8</xdr:col>
      <xdr:colOff>1978212</xdr:colOff>
      <xdr:row>8</xdr:row>
      <xdr:rowOff>116501</xdr:rowOff>
    </xdr:to>
    <xdr:pic>
      <xdr:nvPicPr>
        <xdr:cNvPr id="2" name="Imagen 1" descr="Área de un prisma rectangular">
          <a:extLst>
            <a:ext uri="{FF2B5EF4-FFF2-40B4-BE49-F238E27FC236}">
              <a16:creationId xmlns:a16="http://schemas.microsoft.com/office/drawing/2014/main" id="{05B501CD-17AC-4857-86B2-9F2001613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0666" y="0"/>
          <a:ext cx="1156447" cy="1578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54692D-EC33-4BDD-A996-B1A4EFE7AD59}" name="Tabla2" displayName="Tabla2" ref="B2:G37" totalsRowShown="0" headerRowDxfId="13" dataDxfId="12">
  <autoFilter ref="B2:G37" xr:uid="{9654692D-EC33-4BDD-A996-B1A4EFE7AD59}"/>
  <tableColumns count="6">
    <tableColumn id="1" xr3:uid="{2CE8F067-B6CD-4C7D-ADA6-DDD197FF9EA4}" name="Referència" dataDxfId="11"/>
    <tableColumn id="2" xr3:uid="{92A16ADC-D5E0-4369-809C-BED13DAA4C9D}" name="Quantitat gàbia" dataDxfId="10"/>
    <tableColumn id="3" xr3:uid="{B844AC26-095B-4370-9DF6-0EEC67696FE5}" name="Programa" dataDxfId="9"/>
    <tableColumn id="4" xr3:uid="{A41D2249-00D1-4A27-9D07-DA2DBA579629}" name="Temps cicle (min)" dataDxfId="8"/>
    <tableColumn id="5" xr3:uid="{31411A15-8CE8-4B41-B9BE-EF348AE3A978}" name="Foto (X)" dataDxfId="7"/>
    <tableColumn id="6" xr3:uid="{5C5033E9-72C6-4D00-B2DE-A3A7C7BE9300}" name="Comentari" dataDxfId="6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339"/>
  <sheetViews>
    <sheetView tabSelected="1" zoomScale="70" zoomScaleNormal="70" workbookViewId="0">
      <pane xSplit="10" ySplit="10" topLeftCell="K155" activePane="bottomRight" state="frozen"/>
      <selection pane="topRight" activeCell="K1" sqref="K1"/>
      <selection pane="bottomLeft" activeCell="A11" sqref="A11"/>
      <selection pane="bottomRight" activeCell="L181" sqref="L181"/>
    </sheetView>
  </sheetViews>
  <sheetFormatPr baseColWidth="10" defaultColWidth="8.5703125" defaultRowHeight="18.75"/>
  <cols>
    <col min="1" max="1" width="16.140625" style="46" bestFit="1" customWidth="1"/>
    <col min="2" max="2" width="26" style="46" bestFit="1" customWidth="1"/>
    <col min="3" max="3" width="17.28515625" style="47" bestFit="1" customWidth="1"/>
    <col min="4" max="4" width="8.7109375" style="14" customWidth="1"/>
    <col min="5" max="6" width="12.28515625" style="13" bestFit="1" customWidth="1"/>
    <col min="7" max="7" width="14.28515625" style="19" bestFit="1" customWidth="1"/>
    <col min="8" max="8" width="17.140625" style="45" customWidth="1"/>
    <col min="9" max="9" width="29.7109375" style="27" customWidth="1"/>
    <col min="10" max="10" width="13.5703125" style="31" bestFit="1" customWidth="1"/>
    <col min="11" max="11" width="20.85546875" style="29" customWidth="1"/>
    <col min="12" max="12" width="15.7109375" style="16" customWidth="1"/>
    <col min="13" max="13" width="13" style="16" customWidth="1"/>
    <col min="14" max="14" width="13.5703125" style="37" customWidth="1"/>
    <col min="15" max="15" width="9.5703125" style="17" customWidth="1"/>
    <col min="16" max="16" width="14.28515625" style="21" bestFit="1" customWidth="1"/>
    <col min="17" max="17" width="14.28515625" style="18" bestFit="1" customWidth="1"/>
    <col min="18" max="18" width="15.85546875" style="72" bestFit="1" customWidth="1"/>
    <col min="19" max="21" width="14.28515625" style="72" customWidth="1"/>
    <col min="22" max="22" width="14.28515625" style="80" customWidth="1"/>
    <col min="23" max="23" width="14.28515625" style="72" customWidth="1"/>
    <col min="24" max="24" width="48.42578125" style="15" bestFit="1" customWidth="1"/>
    <col min="25" max="25" width="14.7109375" style="54" customWidth="1"/>
    <col min="27" max="27" width="10.5703125" bestFit="1" customWidth="1"/>
  </cols>
  <sheetData>
    <row r="1" spans="1:27" ht="14.65" customHeight="1">
      <c r="A1" s="133" t="s">
        <v>32</v>
      </c>
      <c r="B1" s="134"/>
      <c r="C1" s="134"/>
      <c r="D1" s="134"/>
      <c r="E1" s="134"/>
      <c r="F1" s="134"/>
      <c r="G1" s="134"/>
      <c r="H1" s="135"/>
      <c r="I1" s="142"/>
      <c r="J1" s="143"/>
      <c r="K1" s="157" t="s">
        <v>35</v>
      </c>
      <c r="L1" s="158"/>
      <c r="M1" s="158"/>
      <c r="N1" s="158"/>
      <c r="O1" s="158"/>
      <c r="P1" s="163" t="s">
        <v>134</v>
      </c>
      <c r="Q1" s="164"/>
      <c r="R1" s="158" t="s">
        <v>151</v>
      </c>
      <c r="S1" s="158"/>
      <c r="T1" s="158"/>
      <c r="U1" s="158"/>
      <c r="V1" s="158"/>
      <c r="W1" s="169"/>
      <c r="X1" s="131" t="s">
        <v>134</v>
      </c>
    </row>
    <row r="2" spans="1:27" ht="14.65" customHeight="1" thickBot="1">
      <c r="A2" s="136"/>
      <c r="B2" s="137"/>
      <c r="C2" s="137"/>
      <c r="D2" s="137"/>
      <c r="E2" s="137"/>
      <c r="F2" s="137"/>
      <c r="G2" s="137"/>
      <c r="H2" s="138"/>
      <c r="I2" s="144"/>
      <c r="J2" s="145"/>
      <c r="K2" s="159"/>
      <c r="L2" s="160"/>
      <c r="M2" s="160"/>
      <c r="N2" s="160"/>
      <c r="O2" s="160"/>
      <c r="P2" s="165"/>
      <c r="Q2" s="166"/>
      <c r="R2" s="160"/>
      <c r="S2" s="160"/>
      <c r="T2" s="160"/>
      <c r="U2" s="160"/>
      <c r="V2" s="160"/>
      <c r="W2" s="170"/>
      <c r="X2" s="132"/>
    </row>
    <row r="3" spans="1:27" ht="14.65" customHeight="1">
      <c r="A3" s="136"/>
      <c r="B3" s="137"/>
      <c r="C3" s="137"/>
      <c r="D3" s="137"/>
      <c r="E3" s="137"/>
      <c r="F3" s="137"/>
      <c r="G3" s="137"/>
      <c r="H3" s="138"/>
      <c r="I3" s="144"/>
      <c r="J3" s="145"/>
      <c r="K3" s="159"/>
      <c r="L3" s="160"/>
      <c r="M3" s="160"/>
      <c r="N3" s="160"/>
      <c r="O3" s="160"/>
      <c r="P3" s="167">
        <f>SUMIF(I11:I1048576,X1,Q11:Q1048576)</f>
        <v>1.1295883271918508</v>
      </c>
      <c r="Q3" s="167"/>
      <c r="R3" s="160"/>
      <c r="S3" s="160"/>
      <c r="T3" s="160"/>
      <c r="U3" s="160"/>
      <c r="V3" s="160"/>
      <c r="W3" s="170"/>
      <c r="X3" s="128">
        <f>SUMIF(I11:I1048576,X1,Q11:Q1048576)</f>
        <v>1.1295883271918508</v>
      </c>
    </row>
    <row r="4" spans="1:27" ht="14.65" customHeight="1">
      <c r="A4" s="136"/>
      <c r="B4" s="137"/>
      <c r="C4" s="137"/>
      <c r="D4" s="137"/>
      <c r="E4" s="137"/>
      <c r="F4" s="137"/>
      <c r="G4" s="137"/>
      <c r="H4" s="138"/>
      <c r="I4" s="144"/>
      <c r="J4" s="145"/>
      <c r="K4" s="159"/>
      <c r="L4" s="160"/>
      <c r="M4" s="160"/>
      <c r="N4" s="160"/>
      <c r="O4" s="160"/>
      <c r="P4" s="167"/>
      <c r="Q4" s="167"/>
      <c r="R4" s="160"/>
      <c r="S4" s="160"/>
      <c r="T4" s="160"/>
      <c r="U4" s="160"/>
      <c r="V4" s="160"/>
      <c r="W4" s="170"/>
      <c r="X4" s="129"/>
    </row>
    <row r="5" spans="1:27" ht="14.65" customHeight="1">
      <c r="A5" s="136"/>
      <c r="B5" s="137"/>
      <c r="C5" s="137"/>
      <c r="D5" s="137"/>
      <c r="E5" s="137"/>
      <c r="F5" s="137"/>
      <c r="G5" s="137"/>
      <c r="H5" s="138"/>
      <c r="I5" s="144"/>
      <c r="J5" s="145"/>
      <c r="K5" s="159"/>
      <c r="L5" s="160"/>
      <c r="M5" s="160"/>
      <c r="N5" s="160"/>
      <c r="O5" s="160"/>
      <c r="P5" s="167"/>
      <c r="Q5" s="167"/>
      <c r="R5" s="160"/>
      <c r="S5" s="160"/>
      <c r="T5" s="160"/>
      <c r="U5" s="160"/>
      <c r="V5" s="160"/>
      <c r="W5" s="170"/>
      <c r="X5" s="129"/>
    </row>
    <row r="6" spans="1:27" ht="14.65" customHeight="1">
      <c r="A6" s="136"/>
      <c r="B6" s="137"/>
      <c r="C6" s="137"/>
      <c r="D6" s="137"/>
      <c r="E6" s="137"/>
      <c r="F6" s="137"/>
      <c r="G6" s="137"/>
      <c r="H6" s="138"/>
      <c r="I6" s="144"/>
      <c r="J6" s="145"/>
      <c r="K6" s="159"/>
      <c r="L6" s="160"/>
      <c r="M6" s="160"/>
      <c r="N6" s="160"/>
      <c r="O6" s="160"/>
      <c r="P6" s="167"/>
      <c r="Q6" s="167"/>
      <c r="R6" s="160"/>
      <c r="S6" s="160"/>
      <c r="T6" s="160"/>
      <c r="U6" s="160"/>
      <c r="V6" s="160"/>
      <c r="W6" s="170"/>
      <c r="X6" s="129"/>
    </row>
    <row r="7" spans="1:27" ht="14.65" customHeight="1" thickBot="1">
      <c r="A7" s="136"/>
      <c r="B7" s="137"/>
      <c r="C7" s="137"/>
      <c r="D7" s="137"/>
      <c r="E7" s="137"/>
      <c r="F7" s="137"/>
      <c r="G7" s="137"/>
      <c r="H7" s="138"/>
      <c r="I7" s="144"/>
      <c r="J7" s="145"/>
      <c r="K7" s="159"/>
      <c r="L7" s="160"/>
      <c r="M7" s="160"/>
      <c r="N7" s="160"/>
      <c r="O7" s="160"/>
      <c r="P7" s="167"/>
      <c r="Q7" s="167"/>
      <c r="R7" s="160"/>
      <c r="S7" s="160"/>
      <c r="T7" s="160"/>
      <c r="U7" s="160"/>
      <c r="V7" s="160"/>
      <c r="W7" s="170"/>
      <c r="X7" s="129"/>
    </row>
    <row r="8" spans="1:27" ht="15" customHeight="1" thickBot="1">
      <c r="A8" s="139"/>
      <c r="B8" s="140"/>
      <c r="C8" s="140"/>
      <c r="D8" s="140"/>
      <c r="E8" s="140"/>
      <c r="F8" s="140"/>
      <c r="G8" s="140"/>
      <c r="H8" s="141"/>
      <c r="I8" s="144"/>
      <c r="J8" s="145"/>
      <c r="K8" s="161"/>
      <c r="L8" s="162"/>
      <c r="M8" s="162"/>
      <c r="N8" s="162"/>
      <c r="O8" s="162"/>
      <c r="P8" s="167"/>
      <c r="Q8" s="168"/>
      <c r="R8" s="77" t="s">
        <v>149</v>
      </c>
      <c r="S8" s="171" t="s">
        <v>150</v>
      </c>
      <c r="T8" s="172"/>
      <c r="U8" s="172"/>
      <c r="V8" s="173"/>
      <c r="W8" s="78" t="s">
        <v>158</v>
      </c>
      <c r="X8" s="130"/>
    </row>
    <row r="9" spans="1:27" ht="15" customHeight="1" thickBot="1">
      <c r="A9" s="151" t="s">
        <v>24</v>
      </c>
      <c r="B9" s="152"/>
      <c r="C9" s="153"/>
      <c r="D9" s="148" t="s">
        <v>23</v>
      </c>
      <c r="E9" s="149"/>
      <c r="F9" s="149"/>
      <c r="G9" s="149"/>
      <c r="H9" s="150"/>
      <c r="I9" s="146"/>
      <c r="J9" s="147"/>
      <c r="K9" s="154" t="s">
        <v>25</v>
      </c>
      <c r="L9" s="154"/>
      <c r="M9" s="154"/>
      <c r="N9" s="154"/>
      <c r="O9" s="154"/>
      <c r="P9" s="155"/>
      <c r="Q9" s="156"/>
      <c r="R9" s="75" t="s">
        <v>160</v>
      </c>
      <c r="S9" s="125" t="s">
        <v>157</v>
      </c>
      <c r="T9" s="126"/>
      <c r="U9" s="127"/>
      <c r="V9" s="75" t="s">
        <v>156</v>
      </c>
      <c r="W9" s="75"/>
      <c r="X9" s="123" t="s">
        <v>12</v>
      </c>
    </row>
    <row r="10" spans="1:27" s="9" customFormat="1" ht="48" thickBot="1">
      <c r="A10" s="5" t="s">
        <v>14</v>
      </c>
      <c r="B10" s="6" t="s">
        <v>10</v>
      </c>
      <c r="C10" s="43" t="s">
        <v>13</v>
      </c>
      <c r="D10" s="2" t="s">
        <v>1</v>
      </c>
      <c r="E10" s="3" t="s">
        <v>2</v>
      </c>
      <c r="F10" s="4" t="s">
        <v>3</v>
      </c>
      <c r="G10" s="7" t="s">
        <v>21</v>
      </c>
      <c r="H10" s="44" t="s">
        <v>4</v>
      </c>
      <c r="I10" s="32" t="s">
        <v>31</v>
      </c>
      <c r="J10" s="33" t="s">
        <v>5</v>
      </c>
      <c r="K10" s="12" t="s">
        <v>17</v>
      </c>
      <c r="L10" s="8" t="s">
        <v>18</v>
      </c>
      <c r="M10" s="10" t="s">
        <v>19</v>
      </c>
      <c r="N10" s="10" t="s">
        <v>20</v>
      </c>
      <c r="O10" s="10" t="s">
        <v>6</v>
      </c>
      <c r="P10" s="11" t="s">
        <v>22</v>
      </c>
      <c r="Q10" s="20" t="s">
        <v>11</v>
      </c>
      <c r="R10" s="76" t="s">
        <v>148</v>
      </c>
      <c r="S10" s="74" t="s">
        <v>152</v>
      </c>
      <c r="T10" s="74" t="s">
        <v>153</v>
      </c>
      <c r="U10" s="74" t="s">
        <v>154</v>
      </c>
      <c r="V10" s="74" t="s">
        <v>155</v>
      </c>
      <c r="W10" s="74" t="s">
        <v>159</v>
      </c>
      <c r="X10" s="124"/>
      <c r="Y10" s="55" t="s">
        <v>138</v>
      </c>
      <c r="Z10" s="9" t="s">
        <v>141</v>
      </c>
      <c r="AA10" s="9" t="s">
        <v>142</v>
      </c>
    </row>
    <row r="11" spans="1:27">
      <c r="A11" s="46" t="s">
        <v>36</v>
      </c>
      <c r="B11" s="46" t="s">
        <v>37</v>
      </c>
      <c r="C11" s="47">
        <v>386642</v>
      </c>
      <c r="D11" s="14">
        <v>95</v>
      </c>
      <c r="E11" s="13">
        <v>105</v>
      </c>
      <c r="F11" s="13">
        <v>17</v>
      </c>
      <c r="G11" s="19">
        <v>8.8429999999999995E-2</v>
      </c>
      <c r="H11" s="45">
        <f>F11*E11*D11</f>
        <v>169575</v>
      </c>
      <c r="I11" s="27" t="s">
        <v>131</v>
      </c>
      <c r="J11" s="30">
        <v>0.7</v>
      </c>
      <c r="K11" s="38">
        <f>IFERROR((VLOOKUP(I11,'DADES VOLUMS'!$A$3:$J$1005,5,FALSE))/('CÀLCUL QUANTITATS VOLUM'!H11)*('CÀLCUL QUANTITATS VOLUM'!J11),"")</f>
        <v>743.03405572755412</v>
      </c>
      <c r="L11" s="39">
        <f>IFERROR(G11*K11*VLOOKUP(I11,'DADES VOLUMS'!$A$3:$J$1005,6,FALSE),"")</f>
        <v>65.706501547987614</v>
      </c>
      <c r="M11" s="39">
        <f>IFERROR(IF(L11&gt;VLOOKUP(I11,'DADES VOLUMS'!$A$3:$J$1005,9,FALSE),VLOOKUP(I11,'DADES VOLUMS'!$A$3:$J$1005,9,FALSE),L11),"")</f>
        <v>65.706501547987614</v>
      </c>
      <c r="N11" s="40">
        <f>IFERROR(K11*M11/L11,"")</f>
        <v>743.03405572755412</v>
      </c>
      <c r="O11" s="39">
        <f>IFERROR(N11*VLOOKUP(I11,'DADES VOLUMS'!$A$3:$J$1005,6,FALSE),"")</f>
        <v>743.03405572755412</v>
      </c>
      <c r="P11" s="42">
        <f>IFERROR(O11*VLOOKUP(I11,'DADES VOLUMS'!$A$3:$J$1005,8,FALSE),"")</f>
        <v>3715.1702786377705</v>
      </c>
      <c r="Q11" s="28">
        <f>IFERROR(C11/P11/5400,"")</f>
        <v>1.9272433024691362E-2</v>
      </c>
      <c r="R11" s="16"/>
      <c r="S11" s="16"/>
      <c r="T11" s="16"/>
      <c r="U11" s="16"/>
      <c r="V11" s="79"/>
      <c r="W11" s="16"/>
      <c r="Y11"/>
    </row>
    <row r="12" spans="1:27">
      <c r="B12" s="46" t="s">
        <v>37</v>
      </c>
      <c r="C12" s="47">
        <v>386642</v>
      </c>
      <c r="D12" s="14">
        <v>95</v>
      </c>
      <c r="E12" s="13">
        <v>105</v>
      </c>
      <c r="F12" s="13">
        <v>29.5</v>
      </c>
      <c r="G12" s="19">
        <v>8.8429999999999995E-2</v>
      </c>
      <c r="H12" s="45">
        <f t="shared" ref="H12:H29" si="0">F12*E12*D12</f>
        <v>294262.5</v>
      </c>
      <c r="I12" s="27" t="s">
        <v>131</v>
      </c>
      <c r="J12" s="31">
        <v>0.7</v>
      </c>
      <c r="K12" s="38">
        <f>IFERROR((VLOOKUP(I12,'DADES VOLUMS'!$A$3:$J$1005,5,FALSE))/('CÀLCUL QUANTITATS VOLUM'!H12)*('CÀLCUL QUANTITATS VOLUM'!J12),"")</f>
        <v>428.18911685994641</v>
      </c>
      <c r="L12" s="39">
        <f>IFERROR(G12*K12*VLOOKUP(I12,'DADES VOLUMS'!$A$3:$J$1005,6,FALSE),"")</f>
        <v>37.864763603925056</v>
      </c>
      <c r="M12" s="39">
        <f>IFERROR(IF(L12&gt;VLOOKUP(I12,'DADES VOLUMS'!$A$3:$J$1005,9,FALSE),VLOOKUP(I12,'DADES VOLUMS'!$A$3:$J$1005,9,FALSE),L12),"")</f>
        <v>37.864763603925056</v>
      </c>
      <c r="N12" s="40">
        <f t="shared" ref="N12" si="1">IFERROR(K12*M12/L12,"")</f>
        <v>428.18911685994641</v>
      </c>
      <c r="O12" s="39">
        <f>IFERROR(N12*VLOOKUP(I12,'DADES VOLUMS'!$A$3:$J$1005,6,FALSE),"")</f>
        <v>428.18911685994641</v>
      </c>
      <c r="P12" s="42">
        <f>IFERROR(O12*VLOOKUP(I12,'DADES VOLUMS'!$A$3:$J$1005,8,FALSE),"")</f>
        <v>2140.9455842997322</v>
      </c>
      <c r="Q12" s="28">
        <f t="shared" ref="Q12" si="2">IFERROR(C12/P12/5400,"")</f>
        <v>3.3443339660493829E-2</v>
      </c>
      <c r="R12" s="16"/>
      <c r="S12" s="16"/>
      <c r="T12" s="16"/>
      <c r="U12" s="16"/>
      <c r="V12" s="79"/>
      <c r="W12" s="16"/>
      <c r="Y12"/>
    </row>
    <row r="13" spans="1:27">
      <c r="A13" s="46" t="s">
        <v>42</v>
      </c>
      <c r="B13" s="46">
        <v>6411574</v>
      </c>
      <c r="C13" s="47">
        <v>1100000</v>
      </c>
      <c r="D13" s="14">
        <v>75</v>
      </c>
      <c r="E13" s="13">
        <v>77</v>
      </c>
      <c r="F13" s="13">
        <v>20</v>
      </c>
      <c r="G13" s="19">
        <v>5.1220000000000002E-2</v>
      </c>
      <c r="H13" s="45">
        <f t="shared" si="0"/>
        <v>115500</v>
      </c>
      <c r="I13" s="27" t="s">
        <v>131</v>
      </c>
      <c r="J13" s="31">
        <v>0.7</v>
      </c>
      <c r="K13" s="38">
        <f>IFERROR((VLOOKUP(I13,'DADES VOLUMS'!$A$3:$J$1005,5,FALSE))/('CÀLCUL QUANTITATS VOLUM'!H13)*('CÀLCUL QUANTITATS VOLUM'!J13),"")</f>
        <v>1090.909090909091</v>
      </c>
      <c r="L13" s="39">
        <f>IFERROR(G13*K13*VLOOKUP(I13,'DADES VOLUMS'!$A$3:$J$1005,6,FALSE),"")</f>
        <v>55.876363636363642</v>
      </c>
      <c r="M13" s="39">
        <f>IFERROR(IF(L13&gt;VLOOKUP(I13,'DADES VOLUMS'!$A$3:$J$1005,9,FALSE),VLOOKUP(I13,'DADES VOLUMS'!$A$3:$J$1005,9,FALSE),L13),"")</f>
        <v>55.876363636363642</v>
      </c>
      <c r="N13" s="40">
        <f t="shared" ref="N13:N31" si="3">IFERROR(K13*M13/L13,"")</f>
        <v>1090.909090909091</v>
      </c>
      <c r="O13" s="39">
        <f>IFERROR(N13*VLOOKUP(I13,'DADES VOLUMS'!$A$3:$J$1005,6,FALSE),"")</f>
        <v>1090.909090909091</v>
      </c>
      <c r="P13" s="42">
        <f>IFERROR(O13*VLOOKUP(I13,'DADES VOLUMS'!$A$3:$J$1005,8,FALSE),"")</f>
        <v>5454.545454545455</v>
      </c>
      <c r="Q13" s="28">
        <f t="shared" ref="Q13:Q31" si="4">IFERROR(C13/P13/5400,"")</f>
        <v>3.734567901234568E-2</v>
      </c>
      <c r="R13" s="16"/>
      <c r="S13" s="16"/>
      <c r="T13" s="16"/>
      <c r="U13" s="16"/>
      <c r="V13" s="79"/>
      <c r="W13" s="16"/>
      <c r="Y13"/>
    </row>
    <row r="14" spans="1:27">
      <c r="B14" s="46">
        <v>51006731</v>
      </c>
      <c r="D14" s="14">
        <v>151</v>
      </c>
      <c r="E14" s="13">
        <v>54.8</v>
      </c>
      <c r="F14" s="13">
        <v>26.3</v>
      </c>
      <c r="G14" s="19">
        <v>0.1</v>
      </c>
      <c r="H14" s="45">
        <f t="shared" si="0"/>
        <v>217627.24</v>
      </c>
      <c r="I14" s="27" t="s">
        <v>131</v>
      </c>
      <c r="K14" s="38">
        <f>IFERROR((VLOOKUP(I14,'DADES VOLUMS'!$A$3:$J$1005,5,FALSE))/('CÀLCUL QUANTITATS VOLUM'!H14)*('CÀLCUL QUANTITATS VOLUM'!J14),"")</f>
        <v>0</v>
      </c>
      <c r="L14" s="39">
        <f>IFERROR(G14*K14*VLOOKUP(I14,'DADES VOLUMS'!$A$3:$J$1005,6,FALSE),"")</f>
        <v>0</v>
      </c>
      <c r="M14" s="39">
        <f>IFERROR(IF(L14&gt;VLOOKUP(I14,'DADES VOLUMS'!$A$3:$J$1005,9,FALSE),VLOOKUP(I14,'DADES VOLUMS'!$A$3:$J$1005,9,FALSE),L14),"")</f>
        <v>0</v>
      </c>
      <c r="N14" s="40" t="str">
        <f t="shared" si="3"/>
        <v/>
      </c>
      <c r="O14" s="39" t="str">
        <f>IFERROR(N14*VLOOKUP(I14,'DADES VOLUMS'!$A$3:$J$1005,6,FALSE),"")</f>
        <v/>
      </c>
      <c r="P14" s="42" t="str">
        <f>IFERROR(O14*VLOOKUP(I14,'DADES VOLUMS'!$A$3:$J$1005,8,FALSE),"")</f>
        <v/>
      </c>
      <c r="Q14" s="28" t="str">
        <f t="shared" si="4"/>
        <v/>
      </c>
      <c r="R14" s="16"/>
      <c r="S14" s="16"/>
      <c r="T14" s="16"/>
      <c r="U14" s="16"/>
      <c r="V14" s="79"/>
      <c r="W14" s="16"/>
      <c r="Y14"/>
    </row>
    <row r="15" spans="1:27">
      <c r="B15" s="46">
        <v>51006729</v>
      </c>
      <c r="D15" s="14">
        <v>187.9</v>
      </c>
      <c r="E15" s="13">
        <v>109.5</v>
      </c>
      <c r="F15" s="13">
        <v>30</v>
      </c>
      <c r="G15" s="19">
        <v>0.23899999999999999</v>
      </c>
      <c r="H15" s="45">
        <f t="shared" si="0"/>
        <v>617251.5</v>
      </c>
      <c r="I15" s="27" t="s">
        <v>131</v>
      </c>
      <c r="K15" s="38">
        <f>IFERROR((VLOOKUP(I15,'DADES VOLUMS'!$A$3:$J$1005,5,FALSE))/('CÀLCUL QUANTITATS VOLUM'!H15)*('CÀLCUL QUANTITATS VOLUM'!J15),"")</f>
        <v>0</v>
      </c>
      <c r="L15" s="39">
        <f>IFERROR(G15*K15*VLOOKUP(I15,'DADES VOLUMS'!$A$3:$J$1005,6,FALSE),"")</f>
        <v>0</v>
      </c>
      <c r="M15" s="39">
        <f>IFERROR(IF(L15&gt;VLOOKUP(I15,'DADES VOLUMS'!$A$3:$J$1005,9,FALSE),VLOOKUP(I15,'DADES VOLUMS'!$A$3:$J$1005,9,FALSE),L15),"")</f>
        <v>0</v>
      </c>
      <c r="N15" s="40" t="str">
        <f t="shared" si="3"/>
        <v/>
      </c>
      <c r="O15" s="39" t="str">
        <f>IFERROR(N15*VLOOKUP(I15,'DADES VOLUMS'!$A$3:$J$1005,6,FALSE),"")</f>
        <v/>
      </c>
      <c r="P15" s="42" t="str">
        <f>IFERROR(O15*VLOOKUP(I15,'DADES VOLUMS'!$A$3:$J$1005,8,FALSE),"")</f>
        <v/>
      </c>
      <c r="Q15" s="28" t="str">
        <f t="shared" si="4"/>
        <v/>
      </c>
      <c r="R15" s="16"/>
      <c r="S15" s="16"/>
      <c r="T15" s="16"/>
      <c r="U15" s="16"/>
      <c r="V15" s="79"/>
      <c r="W15" s="16"/>
      <c r="Y15"/>
    </row>
    <row r="16" spans="1:27">
      <c r="B16" s="46">
        <v>51006612</v>
      </c>
      <c r="D16" s="14">
        <v>184</v>
      </c>
      <c r="E16" s="13">
        <v>103</v>
      </c>
      <c r="F16" s="13">
        <v>52.48</v>
      </c>
      <c r="G16" s="19">
        <v>0.20499999999999999</v>
      </c>
      <c r="H16" s="45">
        <f t="shared" si="0"/>
        <v>994600.95999999996</v>
      </c>
      <c r="I16" s="27" t="s">
        <v>131</v>
      </c>
      <c r="K16" s="38">
        <f>IFERROR((VLOOKUP(I16,'DADES VOLUMS'!$A$3:$J$1005,5,FALSE))/('CÀLCUL QUANTITATS VOLUM'!H16)*('CÀLCUL QUANTITATS VOLUM'!J16),"")</f>
        <v>0</v>
      </c>
      <c r="L16" s="39">
        <f>IFERROR(G16*K16*VLOOKUP(I16,'DADES VOLUMS'!$A$3:$J$1005,6,FALSE),"")</f>
        <v>0</v>
      </c>
      <c r="M16" s="39">
        <f>IFERROR(IF(L16&gt;VLOOKUP(I16,'DADES VOLUMS'!$A$3:$J$1005,9,FALSE),VLOOKUP(I16,'DADES VOLUMS'!$A$3:$J$1005,9,FALSE),L16),"")</f>
        <v>0</v>
      </c>
      <c r="N16" s="40" t="str">
        <f t="shared" si="3"/>
        <v/>
      </c>
      <c r="O16" s="39" t="str">
        <f>IFERROR(N16*VLOOKUP(I16,'DADES VOLUMS'!$A$3:$J$1005,6,FALSE),"")</f>
        <v/>
      </c>
      <c r="P16" s="42" t="str">
        <f>IFERROR(O16*VLOOKUP(I16,'DADES VOLUMS'!$A$3:$J$1005,8,FALSE),"")</f>
        <v/>
      </c>
      <c r="Q16" s="28" t="str">
        <f t="shared" si="4"/>
        <v/>
      </c>
      <c r="R16" s="16"/>
      <c r="S16" s="16"/>
      <c r="T16" s="16"/>
      <c r="U16" s="16"/>
      <c r="V16" s="79"/>
      <c r="W16" s="16"/>
      <c r="Y16"/>
    </row>
    <row r="17" spans="1:25">
      <c r="B17" s="46">
        <v>51006406</v>
      </c>
      <c r="D17" s="14">
        <v>135</v>
      </c>
      <c r="E17" s="13">
        <v>85.95</v>
      </c>
      <c r="F17" s="13">
        <v>85.5</v>
      </c>
      <c r="G17" s="19">
        <v>0.21</v>
      </c>
      <c r="H17" s="45">
        <f t="shared" si="0"/>
        <v>992077.875</v>
      </c>
      <c r="I17" s="27" t="s">
        <v>131</v>
      </c>
      <c r="K17" s="38">
        <f>IFERROR((VLOOKUP(I17,'DADES VOLUMS'!$A$3:$J$1005,5,FALSE))/('CÀLCUL QUANTITATS VOLUM'!H17)*('CÀLCUL QUANTITATS VOLUM'!J17),"")</f>
        <v>0</v>
      </c>
      <c r="L17" s="39">
        <f>IFERROR(G17*K17*VLOOKUP(I17,'DADES VOLUMS'!$A$3:$J$1005,6,FALSE),"")</f>
        <v>0</v>
      </c>
      <c r="M17" s="39">
        <f>IFERROR(IF(L17&gt;VLOOKUP(I17,'DADES VOLUMS'!$A$3:$J$1005,9,FALSE),VLOOKUP(I17,'DADES VOLUMS'!$A$3:$J$1005,9,FALSE),L17),"")</f>
        <v>0</v>
      </c>
      <c r="N17" s="40" t="str">
        <f t="shared" si="3"/>
        <v/>
      </c>
      <c r="O17" s="39" t="str">
        <f>IFERROR(N17*VLOOKUP(I17,'DADES VOLUMS'!$A$3:$J$1005,6,FALSE),"")</f>
        <v/>
      </c>
      <c r="P17" s="42" t="str">
        <f>IFERROR(O17*VLOOKUP(I17,'DADES VOLUMS'!$A$3:$J$1005,8,FALSE),"")</f>
        <v/>
      </c>
      <c r="Q17" s="28" t="str">
        <f t="shared" si="4"/>
        <v/>
      </c>
      <c r="R17" s="16"/>
      <c r="S17" s="16"/>
      <c r="T17" s="16"/>
      <c r="U17" s="16"/>
      <c r="V17" s="79"/>
      <c r="W17" s="16"/>
      <c r="Y17"/>
    </row>
    <row r="18" spans="1:25">
      <c r="B18" s="46">
        <v>51006224</v>
      </c>
      <c r="D18" s="14">
        <v>267.5</v>
      </c>
      <c r="E18" s="13">
        <v>53</v>
      </c>
      <c r="F18" s="13">
        <v>30</v>
      </c>
      <c r="G18" s="19">
        <v>8.2000000000000003E-2</v>
      </c>
      <c r="H18" s="45">
        <f t="shared" si="0"/>
        <v>425325</v>
      </c>
      <c r="I18" s="27" t="s">
        <v>131</v>
      </c>
      <c r="K18" s="38">
        <f>IFERROR((VLOOKUP(I18,'DADES VOLUMS'!$A$3:$J$1005,5,FALSE))/('CÀLCUL QUANTITATS VOLUM'!H18)*('CÀLCUL QUANTITATS VOLUM'!J18),"")</f>
        <v>0</v>
      </c>
      <c r="L18" s="39">
        <f>IFERROR(G18*K18*VLOOKUP(I18,'DADES VOLUMS'!$A$3:$J$1005,6,FALSE),"")</f>
        <v>0</v>
      </c>
      <c r="M18" s="39">
        <f>IFERROR(IF(L18&gt;VLOOKUP(I18,'DADES VOLUMS'!$A$3:$J$1005,9,FALSE),VLOOKUP(I18,'DADES VOLUMS'!$A$3:$J$1005,9,FALSE),L18),"")</f>
        <v>0</v>
      </c>
      <c r="N18" s="40" t="str">
        <f t="shared" si="3"/>
        <v/>
      </c>
      <c r="O18" s="39" t="str">
        <f>IFERROR(N18*VLOOKUP(I18,'DADES VOLUMS'!$A$3:$J$1005,6,FALSE),"")</f>
        <v/>
      </c>
      <c r="P18" s="42" t="str">
        <f>IFERROR(O18*VLOOKUP(I18,'DADES VOLUMS'!$A$3:$J$1005,8,FALSE),"")</f>
        <v/>
      </c>
      <c r="Q18" s="28" t="str">
        <f t="shared" si="4"/>
        <v/>
      </c>
      <c r="R18" s="16"/>
      <c r="S18" s="16"/>
      <c r="T18" s="16"/>
      <c r="U18" s="16"/>
      <c r="V18" s="79"/>
      <c r="W18" s="16"/>
      <c r="Y18"/>
    </row>
    <row r="19" spans="1:25">
      <c r="B19" s="46">
        <v>51005674</v>
      </c>
      <c r="D19" s="14">
        <v>250</v>
      </c>
      <c r="E19" s="13">
        <v>32</v>
      </c>
      <c r="F19" s="13">
        <v>38</v>
      </c>
      <c r="G19" s="19">
        <v>0.11</v>
      </c>
      <c r="H19" s="45">
        <f t="shared" si="0"/>
        <v>304000</v>
      </c>
      <c r="I19" s="27" t="s">
        <v>131</v>
      </c>
      <c r="K19" s="38">
        <f>IFERROR((VLOOKUP(I19,'DADES VOLUMS'!$A$3:$J$1005,5,FALSE))/('CÀLCUL QUANTITATS VOLUM'!H19)*('CÀLCUL QUANTITATS VOLUM'!J19),"")</f>
        <v>0</v>
      </c>
      <c r="L19" s="39">
        <f>IFERROR(G19*K19*VLOOKUP(I19,'DADES VOLUMS'!$A$3:$J$1005,6,FALSE),"")</f>
        <v>0</v>
      </c>
      <c r="M19" s="39">
        <f>IFERROR(IF(L19&gt;VLOOKUP(I19,'DADES VOLUMS'!$A$3:$J$1005,9,FALSE),VLOOKUP(I19,'DADES VOLUMS'!$A$3:$J$1005,9,FALSE),L19),"")</f>
        <v>0</v>
      </c>
      <c r="N19" s="40" t="str">
        <f t="shared" si="3"/>
        <v/>
      </c>
      <c r="O19" s="39" t="str">
        <f>IFERROR(N19*VLOOKUP(I19,'DADES VOLUMS'!$A$3:$J$1005,6,FALSE),"")</f>
        <v/>
      </c>
      <c r="P19" s="42" t="str">
        <f>IFERROR(O19*VLOOKUP(I19,'DADES VOLUMS'!$A$3:$J$1005,8,FALSE),"")</f>
        <v/>
      </c>
      <c r="Q19" s="28" t="str">
        <f t="shared" si="4"/>
        <v/>
      </c>
      <c r="R19" s="16"/>
      <c r="S19" s="16"/>
      <c r="T19" s="16"/>
      <c r="U19" s="16"/>
      <c r="V19" s="79"/>
      <c r="W19" s="16"/>
      <c r="Y19"/>
    </row>
    <row r="20" spans="1:25">
      <c r="B20" s="46">
        <v>51000675</v>
      </c>
      <c r="D20" s="14">
        <v>206</v>
      </c>
      <c r="E20" s="13">
        <v>52.3</v>
      </c>
      <c r="F20" s="13">
        <v>17.100000000000001</v>
      </c>
      <c r="G20" s="19">
        <v>6.4000000000000001E-2</v>
      </c>
      <c r="H20" s="45">
        <f t="shared" si="0"/>
        <v>184231.98</v>
      </c>
      <c r="I20" s="27" t="s">
        <v>131</v>
      </c>
      <c r="K20" s="38">
        <f>IFERROR((VLOOKUP(I20,'DADES VOLUMS'!$A$3:$J$1005,5,FALSE))/('CÀLCUL QUANTITATS VOLUM'!H20)*('CÀLCUL QUANTITATS VOLUM'!J20),"")</f>
        <v>0</v>
      </c>
      <c r="L20" s="39">
        <f>IFERROR(G20*K20*VLOOKUP(I20,'DADES VOLUMS'!$A$3:$J$1005,6,FALSE),"")</f>
        <v>0</v>
      </c>
      <c r="M20" s="39">
        <f>IFERROR(IF(L20&gt;VLOOKUP(I20,'DADES VOLUMS'!$A$3:$J$1005,9,FALSE),VLOOKUP(I20,'DADES VOLUMS'!$A$3:$J$1005,9,FALSE),L20),"")</f>
        <v>0</v>
      </c>
      <c r="N20" s="40" t="str">
        <f t="shared" si="3"/>
        <v/>
      </c>
      <c r="O20" s="39" t="str">
        <f>IFERROR(N20*VLOOKUP(I20,'DADES VOLUMS'!$A$3:$J$1005,6,FALSE),"")</f>
        <v/>
      </c>
      <c r="P20" s="42" t="str">
        <f>IFERROR(O20*VLOOKUP(I20,'DADES VOLUMS'!$A$3:$J$1005,8,FALSE),"")</f>
        <v/>
      </c>
      <c r="Q20" s="28" t="str">
        <f t="shared" si="4"/>
        <v/>
      </c>
      <c r="R20" s="16"/>
      <c r="S20" s="16"/>
      <c r="T20" s="16"/>
      <c r="U20" s="16"/>
      <c r="V20" s="79"/>
      <c r="W20" s="16"/>
      <c r="Y20"/>
    </row>
    <row r="21" spans="1:25">
      <c r="A21" s="46" t="s">
        <v>50</v>
      </c>
      <c r="B21" s="46" t="s">
        <v>51</v>
      </c>
      <c r="C21" s="47">
        <v>120000</v>
      </c>
      <c r="D21" s="14">
        <v>261</v>
      </c>
      <c r="E21" s="13">
        <v>177</v>
      </c>
      <c r="F21" s="13">
        <v>15</v>
      </c>
      <c r="G21" s="19">
        <v>0.19367999999999999</v>
      </c>
      <c r="H21" s="45">
        <f t="shared" si="0"/>
        <v>692955</v>
      </c>
      <c r="I21" s="27" t="s">
        <v>131</v>
      </c>
      <c r="J21" s="31">
        <v>0.7</v>
      </c>
      <c r="K21" s="38">
        <f>IFERROR((VLOOKUP(I21,'DADES VOLUMS'!$A$3:$J$1005,5,FALSE))/('CÀLCUL QUANTITATS VOLUM'!H21)*('CÀLCUL QUANTITATS VOLUM'!J21),"")</f>
        <v>181.82998896032208</v>
      </c>
      <c r="L21" s="39">
        <f>IFERROR(G21*K21*VLOOKUP(I21,'DADES VOLUMS'!$A$3:$J$1005,6,FALSE),"")</f>
        <v>35.216832261835179</v>
      </c>
      <c r="M21" s="39">
        <f>IFERROR(IF(L21&gt;VLOOKUP(I21,'DADES VOLUMS'!$A$3:$J$1005,9,FALSE),VLOOKUP(I21,'DADES VOLUMS'!$A$3:$J$1005,9,FALSE),L21),"")</f>
        <v>35.216832261835179</v>
      </c>
      <c r="N21" s="40">
        <f t="shared" si="3"/>
        <v>181.82998896032208</v>
      </c>
      <c r="O21" s="39">
        <f>IFERROR(N21*VLOOKUP(I21,'DADES VOLUMS'!$A$3:$J$1005,6,FALSE),"")</f>
        <v>181.82998896032208</v>
      </c>
      <c r="P21" s="42">
        <f>IFERROR(O21*VLOOKUP(I21,'DADES VOLUMS'!$A$3:$J$1005,8,FALSE),"")</f>
        <v>909.14994480161045</v>
      </c>
      <c r="Q21" s="28">
        <f t="shared" si="4"/>
        <v>2.4442857142857141E-2</v>
      </c>
      <c r="R21" s="16"/>
      <c r="S21" s="16"/>
      <c r="T21" s="16"/>
      <c r="U21" s="16"/>
      <c r="V21" s="79"/>
      <c r="W21" s="16"/>
      <c r="Y21"/>
    </row>
    <row r="22" spans="1:25">
      <c r="A22" s="46" t="s">
        <v>50</v>
      </c>
      <c r="B22" s="46" t="s">
        <v>52</v>
      </c>
      <c r="C22" s="47">
        <v>120000</v>
      </c>
      <c r="D22" s="14">
        <v>310</v>
      </c>
      <c r="E22" s="13">
        <v>200</v>
      </c>
      <c r="F22" s="13">
        <v>26</v>
      </c>
      <c r="G22" s="19">
        <v>0.37786999999999998</v>
      </c>
      <c r="H22" s="45">
        <f t="shared" si="0"/>
        <v>1612000</v>
      </c>
      <c r="I22" s="27" t="s">
        <v>131</v>
      </c>
      <c r="J22" s="31">
        <v>0.7</v>
      </c>
      <c r="K22" s="38">
        <f>IFERROR((VLOOKUP(I22,'DADES VOLUMS'!$A$3:$J$1005,5,FALSE))/('CÀLCUL QUANTITATS VOLUM'!H22)*('CÀLCUL QUANTITATS VOLUM'!J22),"")</f>
        <v>78.163771712158805</v>
      </c>
      <c r="L22" s="39">
        <f>IFERROR(G22*K22*VLOOKUP(I22,'DADES VOLUMS'!$A$3:$J$1005,6,FALSE),"")</f>
        <v>29.535744416873445</v>
      </c>
      <c r="M22" s="39">
        <f>IFERROR(IF(L22&gt;VLOOKUP(I22,'DADES VOLUMS'!$A$3:$J$1005,9,FALSE),VLOOKUP(I22,'DADES VOLUMS'!$A$3:$J$1005,9,FALSE),L22),"")</f>
        <v>29.535744416873445</v>
      </c>
      <c r="N22" s="40">
        <f t="shared" si="3"/>
        <v>78.163771712158805</v>
      </c>
      <c r="O22" s="39">
        <f>IFERROR(N22*VLOOKUP(I22,'DADES VOLUMS'!$A$3:$J$1005,6,FALSE),"")</f>
        <v>78.163771712158805</v>
      </c>
      <c r="P22" s="42">
        <f>IFERROR(O22*VLOOKUP(I22,'DADES VOLUMS'!$A$3:$J$1005,8,FALSE),"")</f>
        <v>390.81885856079401</v>
      </c>
      <c r="Q22" s="28">
        <f t="shared" si="4"/>
        <v>5.6860670194003538E-2</v>
      </c>
      <c r="R22" s="16"/>
      <c r="S22" s="16"/>
      <c r="T22" s="16"/>
      <c r="U22" s="16"/>
      <c r="V22" s="79"/>
      <c r="W22" s="16"/>
      <c r="Y22"/>
    </row>
    <row r="23" spans="1:25">
      <c r="A23" s="46" t="s">
        <v>53</v>
      </c>
      <c r="B23" s="46" t="s">
        <v>54</v>
      </c>
      <c r="C23" s="47">
        <v>150000</v>
      </c>
      <c r="D23" s="14">
        <v>168</v>
      </c>
      <c r="E23" s="13">
        <v>66</v>
      </c>
      <c r="F23" s="13">
        <v>17</v>
      </c>
      <c r="G23" s="19">
        <v>9.9210000000000007E-2</v>
      </c>
      <c r="H23" s="45">
        <f t="shared" si="0"/>
        <v>188496</v>
      </c>
      <c r="I23" s="27" t="s">
        <v>131</v>
      </c>
      <c r="J23" s="31">
        <v>0.7</v>
      </c>
      <c r="K23" s="38">
        <f>IFERROR((VLOOKUP(I23,'DADES VOLUMS'!$A$3:$J$1005,5,FALSE))/('CÀLCUL QUANTITATS VOLUM'!H23)*('CÀLCUL QUANTITATS VOLUM'!J23),"")</f>
        <v>668.4491978609625</v>
      </c>
      <c r="L23" s="39">
        <f>IFERROR(G23*K23*VLOOKUP(I23,'DADES VOLUMS'!$A$3:$J$1005,6,FALSE),"")</f>
        <v>66.316844919786092</v>
      </c>
      <c r="M23" s="39">
        <f>IFERROR(IF(L23&gt;VLOOKUP(I23,'DADES VOLUMS'!$A$3:$J$1005,9,FALSE),VLOOKUP(I23,'DADES VOLUMS'!$A$3:$J$1005,9,FALSE),L23),"")</f>
        <v>66.316844919786092</v>
      </c>
      <c r="N23" s="40">
        <f t="shared" si="3"/>
        <v>668.4491978609625</v>
      </c>
      <c r="O23" s="39">
        <f>IFERROR(N23*VLOOKUP(I23,'DADES VOLUMS'!$A$3:$J$1005,6,FALSE),"")</f>
        <v>668.4491978609625</v>
      </c>
      <c r="P23" s="42">
        <f>IFERROR(O23*VLOOKUP(I23,'DADES VOLUMS'!$A$3:$J$1005,8,FALSE),"")</f>
        <v>3342.2459893048126</v>
      </c>
      <c r="Q23" s="28">
        <f t="shared" si="4"/>
        <v>8.3111111111111111E-3</v>
      </c>
      <c r="R23" s="16"/>
      <c r="S23" s="16"/>
      <c r="T23" s="16"/>
      <c r="U23" s="16"/>
      <c r="V23" s="79"/>
      <c r="W23" s="16"/>
      <c r="Y23"/>
    </row>
    <row r="24" spans="1:25">
      <c r="A24" s="46" t="s">
        <v>57</v>
      </c>
      <c r="B24" s="46">
        <v>6487569</v>
      </c>
      <c r="C24" s="47">
        <v>218262</v>
      </c>
      <c r="D24" s="14">
        <v>155</v>
      </c>
      <c r="E24" s="13">
        <v>55</v>
      </c>
      <c r="F24" s="13">
        <v>75</v>
      </c>
      <c r="G24" s="19">
        <v>9.0999999999999998E-2</v>
      </c>
      <c r="H24" s="45">
        <f t="shared" si="0"/>
        <v>639375</v>
      </c>
      <c r="I24" s="27" t="s">
        <v>131</v>
      </c>
      <c r="J24" s="31">
        <v>0.7</v>
      </c>
      <c r="K24" s="38">
        <f>IFERROR((VLOOKUP(I24,'DADES VOLUMS'!$A$3:$J$1005,5,FALSE))/('CÀLCUL QUANTITATS VOLUM'!H24)*('CÀLCUL QUANTITATS VOLUM'!J24),"")</f>
        <v>197.06744868035187</v>
      </c>
      <c r="L24" s="39">
        <f>IFERROR(G24*K24*VLOOKUP(I24,'DADES VOLUMS'!$A$3:$J$1005,6,FALSE),"")</f>
        <v>17.93313782991202</v>
      </c>
      <c r="M24" s="39">
        <f>IFERROR(IF(L24&gt;VLOOKUP(I24,'DADES VOLUMS'!$A$3:$J$1005,9,FALSE),VLOOKUP(I24,'DADES VOLUMS'!$A$3:$J$1005,9,FALSE),L24),"")</f>
        <v>17.93313782991202</v>
      </c>
      <c r="N24" s="40">
        <f t="shared" si="3"/>
        <v>197.06744868035187</v>
      </c>
      <c r="O24" s="39">
        <f>IFERROR(N24*VLOOKUP(I24,'DADES VOLUMS'!$A$3:$J$1005,6,FALSE),"")</f>
        <v>197.06744868035187</v>
      </c>
      <c r="P24" s="42">
        <f>IFERROR(O24*VLOOKUP(I24,'DADES VOLUMS'!$A$3:$J$1005,8,FALSE),"")</f>
        <v>985.33724340175934</v>
      </c>
      <c r="Q24" s="28">
        <f t="shared" si="4"/>
        <v>4.1020360449735463E-2</v>
      </c>
      <c r="R24" s="16"/>
      <c r="S24" s="16"/>
      <c r="T24" s="16"/>
      <c r="U24" s="16"/>
      <c r="V24" s="79"/>
      <c r="W24" s="16"/>
      <c r="Y24"/>
    </row>
    <row r="25" spans="1:25">
      <c r="A25" s="46" t="s">
        <v>58</v>
      </c>
      <c r="B25" s="46">
        <v>6538785</v>
      </c>
      <c r="C25" s="47">
        <v>300000</v>
      </c>
      <c r="D25" s="14">
        <v>149</v>
      </c>
      <c r="E25" s="13">
        <v>59</v>
      </c>
      <c r="F25" s="13">
        <v>30</v>
      </c>
      <c r="G25" s="19">
        <v>9.5140000000000002E-2</v>
      </c>
      <c r="H25" s="45">
        <f t="shared" si="0"/>
        <v>263730</v>
      </c>
      <c r="I25" s="27" t="s">
        <v>131</v>
      </c>
      <c r="J25" s="31">
        <v>0.7</v>
      </c>
      <c r="K25" s="38">
        <f>IFERROR((VLOOKUP(I25,'DADES VOLUMS'!$A$3:$J$1005,5,FALSE))/('CÀLCUL QUANTITATS VOLUM'!H25)*('CÀLCUL QUANTITATS VOLUM'!J25),"")</f>
        <v>477.76134683198728</v>
      </c>
      <c r="L25" s="39">
        <f>IFERROR(G25*K25*VLOOKUP(I25,'DADES VOLUMS'!$A$3:$J$1005,6,FALSE),"")</f>
        <v>45.45421453759527</v>
      </c>
      <c r="M25" s="39">
        <f>IFERROR(IF(L25&gt;VLOOKUP(I25,'DADES VOLUMS'!$A$3:$J$1005,9,FALSE),VLOOKUP(I25,'DADES VOLUMS'!$A$3:$J$1005,9,FALSE),L25),"")</f>
        <v>45.45421453759527</v>
      </c>
      <c r="N25" s="40">
        <f t="shared" si="3"/>
        <v>477.76134683198728</v>
      </c>
      <c r="O25" s="39">
        <f>IFERROR(N25*VLOOKUP(I25,'DADES VOLUMS'!$A$3:$J$1005,6,FALSE),"")</f>
        <v>477.76134683198728</v>
      </c>
      <c r="P25" s="42">
        <f>IFERROR(O25*VLOOKUP(I25,'DADES VOLUMS'!$A$3:$J$1005,8,FALSE),"")</f>
        <v>2388.8067341599362</v>
      </c>
      <c r="Q25" s="28">
        <f t="shared" si="4"/>
        <v>2.3256613756613757E-2</v>
      </c>
      <c r="R25" s="16"/>
      <c r="S25" s="16"/>
      <c r="T25" s="16"/>
      <c r="U25" s="16"/>
      <c r="V25" s="79"/>
      <c r="W25" s="16"/>
      <c r="Y25"/>
    </row>
    <row r="26" spans="1:25">
      <c r="A26" s="46" t="s">
        <v>59</v>
      </c>
      <c r="B26" s="46" t="s">
        <v>60</v>
      </c>
      <c r="C26" s="47">
        <v>110000</v>
      </c>
      <c r="D26" s="14">
        <v>149</v>
      </c>
      <c r="E26" s="13">
        <v>59</v>
      </c>
      <c r="F26" s="13">
        <v>37</v>
      </c>
      <c r="G26" s="19">
        <v>9.9510000000000001E-2</v>
      </c>
      <c r="H26" s="45">
        <f t="shared" si="0"/>
        <v>325267</v>
      </c>
      <c r="I26" s="27" t="s">
        <v>131</v>
      </c>
      <c r="J26" s="31">
        <v>0.7</v>
      </c>
      <c r="K26" s="38">
        <f>IFERROR((VLOOKUP(I26,'DADES VOLUMS'!$A$3:$J$1005,5,FALSE))/('CÀLCUL QUANTITATS VOLUM'!H26)*('CÀLCUL QUANTITATS VOLUM'!J26),"")</f>
        <v>387.37406499890858</v>
      </c>
      <c r="L26" s="39">
        <f>IFERROR(G26*K26*VLOOKUP(I26,'DADES VOLUMS'!$A$3:$J$1005,6,FALSE),"")</f>
        <v>38.547593208041391</v>
      </c>
      <c r="M26" s="39">
        <f>IFERROR(IF(L26&gt;VLOOKUP(I26,'DADES VOLUMS'!$A$3:$J$1005,9,FALSE),VLOOKUP(I26,'DADES VOLUMS'!$A$3:$J$1005,9,FALSE),L26),"")</f>
        <v>38.547593208041391</v>
      </c>
      <c r="N26" s="40">
        <f t="shared" si="3"/>
        <v>387.37406499890858</v>
      </c>
      <c r="O26" s="39">
        <f>IFERROR(N26*VLOOKUP(I26,'DADES VOLUMS'!$A$3:$J$1005,6,FALSE),"")</f>
        <v>387.37406499890858</v>
      </c>
      <c r="P26" s="42">
        <f>IFERROR(O26*VLOOKUP(I26,'DADES VOLUMS'!$A$3:$J$1005,8,FALSE),"")</f>
        <v>1936.8703249945429</v>
      </c>
      <c r="Q26" s="28">
        <f t="shared" si="4"/>
        <v>1.0517157554379776E-2</v>
      </c>
      <c r="R26" s="16"/>
      <c r="S26" s="16"/>
      <c r="T26" s="16"/>
      <c r="U26" s="16"/>
      <c r="V26" s="79"/>
      <c r="W26" s="16"/>
      <c r="Y26"/>
    </row>
    <row r="27" spans="1:25">
      <c r="A27" s="46" t="s">
        <v>61</v>
      </c>
      <c r="B27" s="46" t="s">
        <v>62</v>
      </c>
      <c r="C27" s="47">
        <v>1000000</v>
      </c>
      <c r="D27" s="14">
        <v>190</v>
      </c>
      <c r="E27" s="13">
        <v>77</v>
      </c>
      <c r="F27" s="13">
        <v>60</v>
      </c>
      <c r="G27" s="19">
        <v>0.33700000000000002</v>
      </c>
      <c r="H27" s="45">
        <f t="shared" si="0"/>
        <v>877800</v>
      </c>
      <c r="I27" s="27" t="s">
        <v>131</v>
      </c>
      <c r="J27" s="31">
        <v>0.7</v>
      </c>
      <c r="K27" s="38">
        <f>IFERROR((VLOOKUP(I27,'DADES VOLUMS'!$A$3:$J$1005,5,FALSE))/('CÀLCUL QUANTITATS VOLUM'!H27)*('CÀLCUL QUANTITATS VOLUM'!J27),"")</f>
        <v>143.54066985645932</v>
      </c>
      <c r="L27" s="39">
        <f>IFERROR(G27*K27*VLOOKUP(I27,'DADES VOLUMS'!$A$3:$J$1005,6,FALSE),"")</f>
        <v>48.373205741626791</v>
      </c>
      <c r="M27" s="39">
        <f>IFERROR(IF(L27&gt;VLOOKUP(I27,'DADES VOLUMS'!$A$3:$J$1005,9,FALSE),VLOOKUP(I27,'DADES VOLUMS'!$A$3:$J$1005,9,FALSE),L27),"")</f>
        <v>48.373205741626791</v>
      </c>
      <c r="N27" s="40">
        <f t="shared" si="3"/>
        <v>143.54066985645932</v>
      </c>
      <c r="O27" s="39">
        <f>IFERROR(N27*VLOOKUP(I27,'DADES VOLUMS'!$A$3:$J$1005,6,FALSE),"")</f>
        <v>143.54066985645932</v>
      </c>
      <c r="P27" s="42">
        <f>IFERROR(O27*VLOOKUP(I27,'DADES VOLUMS'!$A$3:$J$1005,8,FALSE),"")</f>
        <v>717.70334928229659</v>
      </c>
      <c r="Q27" s="28">
        <f t="shared" si="4"/>
        <v>0.25802469135802469</v>
      </c>
      <c r="R27" s="16"/>
      <c r="S27" s="16"/>
      <c r="T27" s="16"/>
      <c r="U27" s="16"/>
      <c r="V27" s="79"/>
      <c r="W27" s="16"/>
      <c r="Y27"/>
    </row>
    <row r="28" spans="1:25">
      <c r="A28" s="46" t="s">
        <v>63</v>
      </c>
      <c r="B28" s="46">
        <v>6487569</v>
      </c>
      <c r="C28" s="47">
        <v>218262</v>
      </c>
      <c r="D28" s="14">
        <v>155</v>
      </c>
      <c r="E28" s="13">
        <v>55</v>
      </c>
      <c r="F28" s="13">
        <v>75</v>
      </c>
      <c r="G28" s="19">
        <v>9.0999999999999998E-2</v>
      </c>
      <c r="H28" s="45">
        <f t="shared" si="0"/>
        <v>639375</v>
      </c>
      <c r="I28" s="27" t="s">
        <v>131</v>
      </c>
      <c r="J28" s="31">
        <v>0.7</v>
      </c>
      <c r="K28" s="38">
        <f>IFERROR((VLOOKUP(I28,'DADES VOLUMS'!$A$3:$J$1005,5,FALSE))/('CÀLCUL QUANTITATS VOLUM'!H28)*('CÀLCUL QUANTITATS VOLUM'!J28),"")</f>
        <v>197.06744868035187</v>
      </c>
      <c r="L28" s="39">
        <f>IFERROR(G28*K28*VLOOKUP(I28,'DADES VOLUMS'!$A$3:$J$1005,6,FALSE),"")</f>
        <v>17.93313782991202</v>
      </c>
      <c r="M28" s="39">
        <f>IFERROR(IF(L28&gt;VLOOKUP(I28,'DADES VOLUMS'!$A$3:$J$1005,9,FALSE),VLOOKUP(I28,'DADES VOLUMS'!$A$3:$J$1005,9,FALSE),L28),"")</f>
        <v>17.93313782991202</v>
      </c>
      <c r="N28" s="40">
        <f t="shared" si="3"/>
        <v>197.06744868035187</v>
      </c>
      <c r="O28" s="39">
        <f>IFERROR(N28*VLOOKUP(I28,'DADES VOLUMS'!$A$3:$J$1005,6,FALSE),"")</f>
        <v>197.06744868035187</v>
      </c>
      <c r="P28" s="42">
        <f>IFERROR(O28*VLOOKUP(I28,'DADES VOLUMS'!$A$3:$J$1005,8,FALSE),"")</f>
        <v>985.33724340175934</v>
      </c>
      <c r="Q28" s="28">
        <f t="shared" si="4"/>
        <v>4.1020360449735463E-2</v>
      </c>
      <c r="R28" s="16"/>
      <c r="S28" s="16"/>
      <c r="T28" s="16"/>
      <c r="U28" s="16"/>
      <c r="V28" s="79"/>
      <c r="W28" s="16"/>
      <c r="Y28"/>
    </row>
    <row r="29" spans="1:25">
      <c r="A29" s="46" t="s">
        <v>65</v>
      </c>
      <c r="B29" s="46">
        <v>6002213</v>
      </c>
      <c r="C29" s="47">
        <v>166586</v>
      </c>
      <c r="D29" s="14">
        <v>82</v>
      </c>
      <c r="E29" s="13">
        <v>82</v>
      </c>
      <c r="F29" s="13">
        <v>26.8</v>
      </c>
      <c r="G29" s="19">
        <v>6.3750000000000001E-2</v>
      </c>
      <c r="H29" s="45">
        <f t="shared" si="0"/>
        <v>180203.19999999998</v>
      </c>
      <c r="I29" s="27" t="s">
        <v>131</v>
      </c>
      <c r="J29" s="31">
        <v>0.7</v>
      </c>
      <c r="K29" s="38">
        <f>IFERROR((VLOOKUP(I29,'DADES VOLUMS'!$A$3:$J$1005,5,FALSE))/('CÀLCUL QUANTITATS VOLUM'!H29)*('CÀLCUL QUANTITATS VOLUM'!J29),"")</f>
        <v>699.21066884494837</v>
      </c>
      <c r="L29" s="39">
        <f>IFERROR(G29*K29*VLOOKUP(I29,'DADES VOLUMS'!$A$3:$J$1005,6,FALSE),"")</f>
        <v>44.57468013886546</v>
      </c>
      <c r="M29" s="39">
        <f>IFERROR(IF(L29&gt;VLOOKUP(I29,'DADES VOLUMS'!$A$3:$J$1005,9,FALSE),VLOOKUP(I29,'DADES VOLUMS'!$A$3:$J$1005,9,FALSE),L29),"")</f>
        <v>44.57468013886546</v>
      </c>
      <c r="N29" s="40">
        <f t="shared" si="3"/>
        <v>699.21066884494837</v>
      </c>
      <c r="O29" s="39">
        <f>IFERROR(N29*VLOOKUP(I29,'DADES VOLUMS'!$A$3:$J$1005,6,FALSE),"")</f>
        <v>699.21066884494837</v>
      </c>
      <c r="P29" s="42">
        <f>IFERROR(O29*VLOOKUP(I29,'DADES VOLUMS'!$A$3:$J$1005,8,FALSE),"")</f>
        <v>3496.053344224742</v>
      </c>
      <c r="Q29" s="28">
        <f t="shared" si="4"/>
        <v>8.8240241843621399E-3</v>
      </c>
      <c r="R29" s="16"/>
      <c r="S29" s="16"/>
      <c r="T29" s="16"/>
      <c r="U29" s="16"/>
      <c r="V29" s="79"/>
      <c r="W29" s="16"/>
      <c r="Y29"/>
    </row>
    <row r="30" spans="1:25">
      <c r="A30" s="46" t="s">
        <v>66</v>
      </c>
      <c r="B30" s="46">
        <v>38268826</v>
      </c>
      <c r="C30" s="47">
        <v>36000</v>
      </c>
      <c r="D30" s="14">
        <v>165</v>
      </c>
      <c r="E30" s="13">
        <v>92</v>
      </c>
      <c r="F30" s="13">
        <v>48</v>
      </c>
      <c r="G30" s="19">
        <v>0.1038</v>
      </c>
      <c r="H30" s="45">
        <f t="shared" ref="H30:H51" si="5">F30*E30*D30</f>
        <v>728640</v>
      </c>
      <c r="I30" s="27" t="s">
        <v>131</v>
      </c>
      <c r="J30" s="31">
        <v>0.7</v>
      </c>
      <c r="K30" s="38">
        <f>IFERROR((VLOOKUP(I30,'DADES VOLUMS'!$A$3:$J$1005,5,FALSE))/('CÀLCUL QUANTITATS VOLUM'!H30)*('CÀLCUL QUANTITATS VOLUM'!J30),"")</f>
        <v>172.92490118577075</v>
      </c>
      <c r="L30" s="39">
        <f>IFERROR(G30*K30*VLOOKUP(I30,'DADES VOLUMS'!$A$3:$J$1005,6,FALSE),"")</f>
        <v>17.949604743083004</v>
      </c>
      <c r="M30" s="39">
        <f>IFERROR(IF(L30&gt;VLOOKUP(I30,'DADES VOLUMS'!$A$3:$J$1005,9,FALSE),VLOOKUP(I30,'DADES VOLUMS'!$A$3:$J$1005,9,FALSE),L30),"")</f>
        <v>17.949604743083004</v>
      </c>
      <c r="N30" s="40">
        <f t="shared" si="3"/>
        <v>172.92490118577075</v>
      </c>
      <c r="O30" s="39">
        <f>IFERROR(N30*VLOOKUP(I30,'DADES VOLUMS'!$A$3:$J$1005,6,FALSE),"")</f>
        <v>172.92490118577075</v>
      </c>
      <c r="P30" s="42">
        <f>IFERROR(O30*VLOOKUP(I30,'DADES VOLUMS'!$A$3:$J$1005,8,FALSE),"")</f>
        <v>864.62450592885375</v>
      </c>
      <c r="Q30" s="28">
        <f t="shared" si="4"/>
        <v>7.7104761904761903E-3</v>
      </c>
      <c r="R30" s="16"/>
      <c r="S30" s="16"/>
      <c r="T30" s="16"/>
      <c r="U30" s="16"/>
      <c r="V30" s="79"/>
      <c r="W30" s="16"/>
      <c r="Y30"/>
    </row>
    <row r="31" spans="1:25">
      <c r="A31" s="46" t="s">
        <v>66</v>
      </c>
      <c r="B31" s="46">
        <v>38298095</v>
      </c>
      <c r="C31" s="47">
        <v>60000</v>
      </c>
      <c r="D31" s="14">
        <v>123</v>
      </c>
      <c r="E31" s="13">
        <v>128</v>
      </c>
      <c r="F31" s="13">
        <v>17</v>
      </c>
      <c r="G31" s="19">
        <v>7.0900000000000005E-2</v>
      </c>
      <c r="H31" s="45">
        <f t="shared" si="5"/>
        <v>267648</v>
      </c>
      <c r="I31" s="27" t="s">
        <v>131</v>
      </c>
      <c r="J31" s="31">
        <v>0.7</v>
      </c>
      <c r="K31" s="38">
        <f>IFERROR((VLOOKUP(I31,'DADES VOLUMS'!$A$3:$J$1005,5,FALSE))/('CÀLCUL QUANTITATS VOLUM'!H31)*('CÀLCUL QUANTITATS VOLUM'!J31),"")</f>
        <v>470.76757532281198</v>
      </c>
      <c r="L31" s="39">
        <f>IFERROR(G31*K31*VLOOKUP(I31,'DADES VOLUMS'!$A$3:$J$1005,6,FALSE),"")</f>
        <v>33.377421090387372</v>
      </c>
      <c r="M31" s="39">
        <f>IFERROR(IF(L31&gt;VLOOKUP(I31,'DADES VOLUMS'!$A$3:$J$1005,9,FALSE),VLOOKUP(I31,'DADES VOLUMS'!$A$3:$J$1005,9,FALSE),L31),"")</f>
        <v>33.377421090387372</v>
      </c>
      <c r="N31" s="40">
        <f t="shared" si="3"/>
        <v>470.76757532281198</v>
      </c>
      <c r="O31" s="39">
        <f>IFERROR(N31*VLOOKUP(I31,'DADES VOLUMS'!$A$3:$J$1005,6,FALSE),"")</f>
        <v>470.76757532281198</v>
      </c>
      <c r="P31" s="42">
        <f>IFERROR(O31*VLOOKUP(I31,'DADES VOLUMS'!$A$3:$J$1005,8,FALSE),"")</f>
        <v>2353.83787661406</v>
      </c>
      <c r="Q31" s="28">
        <f t="shared" si="4"/>
        <v>4.7204232804232815E-3</v>
      </c>
      <c r="R31" s="16"/>
      <c r="S31" s="16"/>
      <c r="T31" s="16"/>
      <c r="U31" s="16"/>
      <c r="V31" s="79"/>
      <c r="W31" s="16"/>
      <c r="Y31"/>
    </row>
    <row r="32" spans="1:25">
      <c r="A32" s="46" t="s">
        <v>69</v>
      </c>
      <c r="B32" s="46" t="s">
        <v>70</v>
      </c>
      <c r="C32" s="47">
        <v>49000</v>
      </c>
      <c r="D32" s="14">
        <v>191</v>
      </c>
      <c r="E32" s="13">
        <v>92</v>
      </c>
      <c r="F32" s="13">
        <v>75</v>
      </c>
      <c r="G32" s="19">
        <v>0.26750000000000002</v>
      </c>
      <c r="H32" s="45">
        <f t="shared" si="5"/>
        <v>1317900</v>
      </c>
      <c r="I32" s="27" t="s">
        <v>131</v>
      </c>
      <c r="J32" s="31">
        <v>0.7</v>
      </c>
      <c r="K32" s="38">
        <f>IFERROR((VLOOKUP(I32,'DADES VOLUMS'!$A$3:$J$1005,5,FALSE))/('CÀLCUL QUANTITATS VOLUM'!H32)*('CÀLCUL QUANTITATS VOLUM'!J32),"")</f>
        <v>95.606646938310945</v>
      </c>
      <c r="L32" s="39">
        <f>IFERROR(G32*K32*VLOOKUP(I32,'DADES VOLUMS'!$A$3:$J$1005,6,FALSE),"")</f>
        <v>25.574778055998181</v>
      </c>
      <c r="M32" s="39">
        <f>IFERROR(IF(L32&gt;VLOOKUP(I32,'DADES VOLUMS'!$A$3:$J$1005,9,FALSE),VLOOKUP(I32,'DADES VOLUMS'!$A$3:$J$1005,9,FALSE),L32),"")</f>
        <v>25.574778055998181</v>
      </c>
      <c r="N32" s="40">
        <f t="shared" ref="N32:N52" si="6">IFERROR(K32*M32/L32,"")</f>
        <v>95.606646938310945</v>
      </c>
      <c r="O32" s="39">
        <f>IFERROR(N32*VLOOKUP(I32,'DADES VOLUMS'!$A$3:$J$1005,6,FALSE),"")</f>
        <v>95.606646938310945</v>
      </c>
      <c r="P32" s="42">
        <f>IFERROR(O32*VLOOKUP(I32,'DADES VOLUMS'!$A$3:$J$1005,8,FALSE),"")</f>
        <v>478.03323469155475</v>
      </c>
      <c r="Q32" s="28">
        <f t="shared" ref="Q32:Q52" si="7">IFERROR(C32/P32/5400,"")</f>
        <v>1.8982098765432099E-2</v>
      </c>
      <c r="R32" s="16"/>
      <c r="S32" s="16"/>
      <c r="T32" s="16"/>
      <c r="U32" s="16"/>
      <c r="V32" s="79"/>
      <c r="W32" s="16"/>
      <c r="Y32"/>
    </row>
    <row r="33" spans="1:25">
      <c r="A33" s="46" t="s">
        <v>71</v>
      </c>
      <c r="B33" s="46" t="s">
        <v>72</v>
      </c>
      <c r="C33" s="47">
        <v>191500</v>
      </c>
      <c r="D33" s="14">
        <v>128</v>
      </c>
      <c r="E33" s="13">
        <v>90</v>
      </c>
      <c r="F33" s="13">
        <v>30</v>
      </c>
      <c r="G33" s="19">
        <v>0.16259999999999999</v>
      </c>
      <c r="H33" s="45">
        <f t="shared" si="5"/>
        <v>345600</v>
      </c>
      <c r="I33" s="27" t="s">
        <v>131</v>
      </c>
      <c r="J33" s="31">
        <v>0.7</v>
      </c>
      <c r="K33" s="38">
        <f>IFERROR((VLOOKUP(I33,'DADES VOLUMS'!$A$3:$J$1005,5,FALSE))/('CÀLCUL QUANTITATS VOLUM'!H33)*('CÀLCUL QUANTITATS VOLUM'!J33),"")</f>
        <v>364.58333333333331</v>
      </c>
      <c r="L33" s="39">
        <f>IFERROR(G33*K33*VLOOKUP(I33,'DADES VOLUMS'!$A$3:$J$1005,6,FALSE),"")</f>
        <v>59.281249999999993</v>
      </c>
      <c r="M33" s="39">
        <f>IFERROR(IF(L33&gt;VLOOKUP(I33,'DADES VOLUMS'!$A$3:$J$1005,9,FALSE),VLOOKUP(I33,'DADES VOLUMS'!$A$3:$J$1005,9,FALSE),L33),"")</f>
        <v>59.281249999999993</v>
      </c>
      <c r="N33" s="40">
        <f t="shared" si="6"/>
        <v>364.58333333333331</v>
      </c>
      <c r="O33" s="39">
        <f>IFERROR(N33*VLOOKUP(I33,'DADES VOLUMS'!$A$3:$J$1005,6,FALSE),"")</f>
        <v>364.58333333333331</v>
      </c>
      <c r="P33" s="42">
        <f>IFERROR(O33*VLOOKUP(I33,'DADES VOLUMS'!$A$3:$J$1005,8,FALSE),"")</f>
        <v>1822.9166666666665</v>
      </c>
      <c r="Q33" s="28">
        <f t="shared" si="7"/>
        <v>1.9453968253968255E-2</v>
      </c>
      <c r="R33" s="16"/>
      <c r="S33" s="16"/>
      <c r="T33" s="16"/>
      <c r="U33" s="16"/>
      <c r="V33" s="79"/>
      <c r="W33" s="16"/>
      <c r="Y33"/>
    </row>
    <row r="34" spans="1:25">
      <c r="A34" s="46" t="s">
        <v>73</v>
      </c>
      <c r="B34" s="46" t="s">
        <v>74</v>
      </c>
      <c r="C34" s="47">
        <v>85000</v>
      </c>
      <c r="D34" s="14">
        <v>108</v>
      </c>
      <c r="E34" s="13">
        <v>80</v>
      </c>
      <c r="F34" s="13">
        <v>97</v>
      </c>
      <c r="G34" s="19">
        <v>0.19212000000000001</v>
      </c>
      <c r="H34" s="45">
        <f t="shared" si="5"/>
        <v>838080</v>
      </c>
      <c r="I34" s="27" t="s">
        <v>131</v>
      </c>
      <c r="J34" s="31">
        <v>0.85</v>
      </c>
      <c r="K34" s="38">
        <f>IFERROR((VLOOKUP(I34,'DADES VOLUMS'!$A$3:$J$1005,5,FALSE))/('CÀLCUL QUANTITATS VOLUM'!H34)*('CÀLCUL QUANTITATS VOLUM'!J34),"")</f>
        <v>182.56013745704465</v>
      </c>
      <c r="L34" s="39">
        <f>IFERROR(G34*K34*VLOOKUP(I34,'DADES VOLUMS'!$A$3:$J$1005,6,FALSE),"")</f>
        <v>35.073453608247419</v>
      </c>
      <c r="M34" s="39">
        <f>IFERROR(IF(L34&gt;VLOOKUP(I34,'DADES VOLUMS'!$A$3:$J$1005,9,FALSE),VLOOKUP(I34,'DADES VOLUMS'!$A$3:$J$1005,9,FALSE),L34),"")</f>
        <v>35.073453608247419</v>
      </c>
      <c r="N34" s="40">
        <f t="shared" si="6"/>
        <v>182.56013745704465</v>
      </c>
      <c r="O34" s="39">
        <f>IFERROR(N34*VLOOKUP(I34,'DADES VOLUMS'!$A$3:$J$1005,6,FALSE),"")</f>
        <v>182.56013745704465</v>
      </c>
      <c r="P34" s="42">
        <f>IFERROR(O34*VLOOKUP(I34,'DADES VOLUMS'!$A$3:$J$1005,8,FALSE),"")</f>
        <v>912.80068728522326</v>
      </c>
      <c r="Q34" s="28">
        <f t="shared" si="7"/>
        <v>1.7244444444444444E-2</v>
      </c>
      <c r="R34" s="16"/>
      <c r="S34" s="16"/>
      <c r="T34" s="16"/>
      <c r="U34" s="16"/>
      <c r="V34" s="79"/>
      <c r="W34" s="16"/>
      <c r="Y34"/>
    </row>
    <row r="35" spans="1:25">
      <c r="A35" s="46" t="s">
        <v>75</v>
      </c>
      <c r="B35" s="46" t="s">
        <v>82</v>
      </c>
      <c r="C35" s="47">
        <v>1000000</v>
      </c>
      <c r="D35" s="14">
        <v>125</v>
      </c>
      <c r="E35" s="13">
        <v>55</v>
      </c>
      <c r="F35" s="13">
        <v>51</v>
      </c>
      <c r="G35" s="19">
        <v>7.8E-2</v>
      </c>
      <c r="H35" s="45">
        <f t="shared" si="5"/>
        <v>350625</v>
      </c>
      <c r="I35" s="27" t="s">
        <v>131</v>
      </c>
      <c r="J35" s="31">
        <v>0.85</v>
      </c>
      <c r="K35" s="38">
        <f>IFERROR((VLOOKUP(I35,'DADES VOLUMS'!$A$3:$J$1005,5,FALSE))/('CÀLCUL QUANTITATS VOLUM'!H35)*('CÀLCUL QUANTITATS VOLUM'!J35),"")</f>
        <v>436.36363636363637</v>
      </c>
      <c r="L35" s="39">
        <f>IFERROR(G35*K35*VLOOKUP(I35,'DADES VOLUMS'!$A$3:$J$1005,6,FALSE),"")</f>
        <v>34.036363636363639</v>
      </c>
      <c r="M35" s="39">
        <f>IFERROR(IF(L35&gt;VLOOKUP(I35,'DADES VOLUMS'!$A$3:$J$1005,9,FALSE),VLOOKUP(I35,'DADES VOLUMS'!$A$3:$J$1005,9,FALSE),L35),"")</f>
        <v>34.036363636363639</v>
      </c>
      <c r="N35" s="40">
        <f t="shared" si="6"/>
        <v>436.36363636363637</v>
      </c>
      <c r="O35" s="39">
        <f>IFERROR(N35*VLOOKUP(I35,'DADES VOLUMS'!$A$3:$J$1005,6,FALSE),"")</f>
        <v>436.36363636363637</v>
      </c>
      <c r="P35" s="42">
        <f>IFERROR(O35*VLOOKUP(I35,'DADES VOLUMS'!$A$3:$J$1005,8,FALSE),"")</f>
        <v>2181.818181818182</v>
      </c>
      <c r="Q35" s="28">
        <f t="shared" si="7"/>
        <v>8.4876543209876545E-2</v>
      </c>
      <c r="R35" s="16"/>
      <c r="S35" s="16"/>
      <c r="T35" s="16"/>
      <c r="U35" s="16"/>
      <c r="V35" s="79"/>
      <c r="W35" s="16"/>
      <c r="Y35"/>
    </row>
    <row r="36" spans="1:25">
      <c r="A36" s="46" t="s">
        <v>76</v>
      </c>
      <c r="B36" s="46" t="s">
        <v>77</v>
      </c>
      <c r="C36" s="47">
        <v>12999</v>
      </c>
      <c r="D36" s="14">
        <v>163</v>
      </c>
      <c r="E36" s="13">
        <v>99</v>
      </c>
      <c r="F36" s="13">
        <v>65</v>
      </c>
      <c r="G36" s="19">
        <v>0.37230000000000002</v>
      </c>
      <c r="H36" s="45">
        <f t="shared" si="5"/>
        <v>1048905</v>
      </c>
      <c r="I36" s="27" t="s">
        <v>131</v>
      </c>
      <c r="J36" s="31">
        <v>0.85</v>
      </c>
      <c r="K36" s="38">
        <f>IFERROR((VLOOKUP(I36,'DADES VOLUMS'!$A$3:$J$1005,5,FALSE))/('CÀLCUL QUANTITATS VOLUM'!H36)*('CÀLCUL QUANTITATS VOLUM'!J36),"")</f>
        <v>145.86640353511518</v>
      </c>
      <c r="L36" s="39">
        <f>IFERROR(G36*K36*VLOOKUP(I36,'DADES VOLUMS'!$A$3:$J$1005,6,FALSE),"")</f>
        <v>54.306062036123386</v>
      </c>
      <c r="M36" s="39">
        <f>IFERROR(IF(L36&gt;VLOOKUP(I36,'DADES VOLUMS'!$A$3:$J$1005,9,FALSE),VLOOKUP(I36,'DADES VOLUMS'!$A$3:$J$1005,9,FALSE),L36),"")</f>
        <v>54.306062036123386</v>
      </c>
      <c r="N36" s="40">
        <f t="shared" si="6"/>
        <v>145.86640353511518</v>
      </c>
      <c r="O36" s="39">
        <f>IFERROR(N36*VLOOKUP(I36,'DADES VOLUMS'!$A$3:$J$1005,6,FALSE),"")</f>
        <v>145.86640353511518</v>
      </c>
      <c r="P36" s="42">
        <f>IFERROR(O36*VLOOKUP(I36,'DADES VOLUMS'!$A$3:$J$1005,8,FALSE),"")</f>
        <v>729.33201767557591</v>
      </c>
      <c r="Q36" s="28">
        <f t="shared" si="7"/>
        <v>3.3005848692810457E-3</v>
      </c>
      <c r="R36" s="16"/>
      <c r="S36" s="16"/>
      <c r="T36" s="16"/>
      <c r="U36" s="16"/>
      <c r="V36" s="79"/>
      <c r="W36" s="16"/>
      <c r="Y36"/>
    </row>
    <row r="37" spans="1:25">
      <c r="A37" s="46" t="s">
        <v>78</v>
      </c>
      <c r="B37" s="46">
        <v>6604390</v>
      </c>
      <c r="C37" s="47">
        <v>615602</v>
      </c>
      <c r="D37" s="14">
        <v>155</v>
      </c>
      <c r="E37" s="13">
        <v>53</v>
      </c>
      <c r="F37" s="13">
        <v>51</v>
      </c>
      <c r="G37" s="19">
        <v>8.9497999999999994E-2</v>
      </c>
      <c r="H37" s="45">
        <f t="shared" si="5"/>
        <v>418965</v>
      </c>
      <c r="I37" s="27" t="s">
        <v>131</v>
      </c>
      <c r="J37" s="31">
        <v>0.85</v>
      </c>
      <c r="K37" s="38">
        <f>IFERROR((VLOOKUP(I37,'DADES VOLUMS'!$A$3:$J$1005,5,FALSE))/('CÀLCUL QUANTITATS VOLUM'!H37)*('CÀLCUL QUANTITATS VOLUM'!J37),"")</f>
        <v>365.18563603164938</v>
      </c>
      <c r="L37" s="39">
        <f>IFERROR(G37*K37*VLOOKUP(I37,'DADES VOLUMS'!$A$3:$J$1005,6,FALSE),"")</f>
        <v>32.683384053560552</v>
      </c>
      <c r="M37" s="39">
        <f>IFERROR(IF(L37&gt;VLOOKUP(I37,'DADES VOLUMS'!$A$3:$J$1005,9,FALSE),VLOOKUP(I37,'DADES VOLUMS'!$A$3:$J$1005,9,FALSE),L37),"")</f>
        <v>32.683384053560552</v>
      </c>
      <c r="N37" s="40">
        <f t="shared" si="6"/>
        <v>365.18563603164938</v>
      </c>
      <c r="O37" s="39">
        <f>IFERROR(N37*VLOOKUP(I37,'DADES VOLUMS'!$A$3:$J$1005,6,FALSE),"")</f>
        <v>365.18563603164938</v>
      </c>
      <c r="P37" s="42">
        <f>IFERROR(O37*VLOOKUP(I37,'DADES VOLUMS'!$A$3:$J$1005,8,FALSE),"")</f>
        <v>1825.928180158247</v>
      </c>
      <c r="Q37" s="28">
        <f t="shared" si="7"/>
        <v>6.2434202839506174E-2</v>
      </c>
      <c r="R37" s="16"/>
      <c r="S37" s="16"/>
      <c r="T37" s="16"/>
      <c r="U37" s="16"/>
      <c r="V37" s="79"/>
      <c r="W37" s="16"/>
      <c r="Y37"/>
    </row>
    <row r="38" spans="1:25">
      <c r="A38" s="46" t="s">
        <v>79</v>
      </c>
      <c r="B38" s="46" t="s">
        <v>80</v>
      </c>
      <c r="C38" s="47">
        <v>299950</v>
      </c>
      <c r="D38" s="14">
        <v>99</v>
      </c>
      <c r="E38" s="13">
        <v>76</v>
      </c>
      <c r="F38" s="13">
        <v>43</v>
      </c>
      <c r="G38" s="19">
        <v>0.11169</v>
      </c>
      <c r="H38" s="45">
        <f t="shared" si="5"/>
        <v>323532</v>
      </c>
      <c r="I38" s="27" t="s">
        <v>131</v>
      </c>
      <c r="J38" s="31">
        <v>0.7</v>
      </c>
      <c r="K38" s="38">
        <f>IFERROR((VLOOKUP(I38,'DADES VOLUMS'!$A$3:$J$1005,5,FALSE))/('CÀLCUL QUANTITATS VOLUM'!H38)*('CÀLCUL QUANTITATS VOLUM'!J38),"")</f>
        <v>389.45142984310667</v>
      </c>
      <c r="L38" s="39">
        <f>IFERROR(G38*K38*VLOOKUP(I38,'DADES VOLUMS'!$A$3:$J$1005,6,FALSE),"")</f>
        <v>43.497830199176583</v>
      </c>
      <c r="M38" s="39">
        <f>IFERROR(IF(L38&gt;VLOOKUP(I38,'DADES VOLUMS'!$A$3:$J$1005,9,FALSE),VLOOKUP(I38,'DADES VOLUMS'!$A$3:$J$1005,9,FALSE),L38),"")</f>
        <v>43.497830199176583</v>
      </c>
      <c r="N38" s="40">
        <f t="shared" si="6"/>
        <v>389.45142984310667</v>
      </c>
      <c r="O38" s="39">
        <f>IFERROR(N38*VLOOKUP(I38,'DADES VOLUMS'!$A$3:$J$1005,6,FALSE),"")</f>
        <v>389.45142984310667</v>
      </c>
      <c r="P38" s="42">
        <f>IFERROR(O38*VLOOKUP(I38,'DADES VOLUMS'!$A$3:$J$1005,8,FALSE),"")</f>
        <v>1947.2571492155334</v>
      </c>
      <c r="Q38" s="28">
        <f t="shared" si="7"/>
        <v>2.8525403703703704E-2</v>
      </c>
      <c r="R38" s="16"/>
      <c r="S38" s="16"/>
      <c r="T38" s="16"/>
      <c r="U38" s="16"/>
      <c r="V38" s="79"/>
      <c r="W38" s="16"/>
      <c r="Y38"/>
    </row>
    <row r="39" spans="1:25">
      <c r="A39" s="46" t="s">
        <v>83</v>
      </c>
      <c r="B39" s="46" t="s">
        <v>84</v>
      </c>
      <c r="C39" s="47">
        <v>42000</v>
      </c>
      <c r="D39" s="14">
        <v>217</v>
      </c>
      <c r="E39" s="13">
        <v>106</v>
      </c>
      <c r="F39" s="13">
        <v>50</v>
      </c>
      <c r="G39" s="19">
        <v>0.30680000000000002</v>
      </c>
      <c r="H39" s="45">
        <f t="shared" si="5"/>
        <v>1150100</v>
      </c>
      <c r="I39" s="27" t="s">
        <v>131</v>
      </c>
      <c r="J39" s="31">
        <v>0.85</v>
      </c>
      <c r="K39" s="38">
        <f>IFERROR((VLOOKUP(I39,'DADES VOLUMS'!$A$3:$J$1005,5,FALSE))/('CÀLCUL QUANTITATS VOLUM'!H39)*('CÀLCUL QUANTITATS VOLUM'!J39),"")</f>
        <v>133.03191026867231</v>
      </c>
      <c r="L39" s="39">
        <f>IFERROR(G39*K39*VLOOKUP(I39,'DADES VOLUMS'!$A$3:$J$1005,6,FALSE),"")</f>
        <v>40.814190070428666</v>
      </c>
      <c r="M39" s="39">
        <f>IFERROR(IF(L39&gt;VLOOKUP(I39,'DADES VOLUMS'!$A$3:$J$1005,9,FALSE),VLOOKUP(I39,'DADES VOLUMS'!$A$3:$J$1005,9,FALSE),L39),"")</f>
        <v>40.814190070428666</v>
      </c>
      <c r="N39" s="40">
        <f t="shared" si="6"/>
        <v>133.03191026867231</v>
      </c>
      <c r="O39" s="39">
        <f>IFERROR(N39*VLOOKUP(I39,'DADES VOLUMS'!$A$3:$J$1005,6,FALSE),"")</f>
        <v>133.03191026867231</v>
      </c>
      <c r="P39" s="42">
        <f>IFERROR(O39*VLOOKUP(I39,'DADES VOLUMS'!$A$3:$J$1005,8,FALSE),"")</f>
        <v>665.1595513433615</v>
      </c>
      <c r="Q39" s="28">
        <f t="shared" si="7"/>
        <v>1.1693100944081335E-2</v>
      </c>
      <c r="R39" s="16"/>
      <c r="S39" s="16"/>
      <c r="T39" s="16"/>
      <c r="U39" s="16"/>
      <c r="V39" s="79"/>
      <c r="W39" s="16"/>
      <c r="Y39"/>
    </row>
    <row r="40" spans="1:25">
      <c r="A40" s="46" t="s">
        <v>79</v>
      </c>
      <c r="B40" s="46" t="s">
        <v>80</v>
      </c>
      <c r="C40" s="47">
        <v>300000</v>
      </c>
      <c r="D40" s="14">
        <v>99</v>
      </c>
      <c r="E40" s="13">
        <v>76</v>
      </c>
      <c r="F40" s="13">
        <v>43</v>
      </c>
      <c r="G40" s="19">
        <v>0.11448999999999999</v>
      </c>
      <c r="H40" s="45">
        <f t="shared" si="5"/>
        <v>323532</v>
      </c>
      <c r="I40" s="27" t="s">
        <v>131</v>
      </c>
      <c r="J40" s="31">
        <v>0.7</v>
      </c>
      <c r="K40" s="38">
        <f>IFERROR((VLOOKUP(I40,'DADES VOLUMS'!$A$3:$J$1005,5,FALSE))/('CÀLCUL QUANTITATS VOLUM'!H40)*('CÀLCUL QUANTITATS VOLUM'!J40),"")</f>
        <v>389.45142984310667</v>
      </c>
      <c r="L40" s="39">
        <f>IFERROR(G40*K40*VLOOKUP(I40,'DADES VOLUMS'!$A$3:$J$1005,6,FALSE),"")</f>
        <v>44.588294202737281</v>
      </c>
      <c r="M40" s="39">
        <f>IFERROR(IF(L40&gt;VLOOKUP(I40,'DADES VOLUMS'!$A$3:$J$1005,9,FALSE),VLOOKUP(I40,'DADES VOLUMS'!$A$3:$J$1005,9,FALSE),L40),"")</f>
        <v>44.588294202737281</v>
      </c>
      <c r="N40" s="40">
        <f t="shared" si="6"/>
        <v>389.45142984310667</v>
      </c>
      <c r="O40" s="39">
        <f>IFERROR(N40*VLOOKUP(I40,'DADES VOLUMS'!$A$3:$J$1005,6,FALSE),"")</f>
        <v>389.45142984310667</v>
      </c>
      <c r="P40" s="42">
        <f>IFERROR(O40*VLOOKUP(I40,'DADES VOLUMS'!$A$3:$J$1005,8,FALSE),"")</f>
        <v>1947.2571492155334</v>
      </c>
      <c r="Q40" s="28">
        <f t="shared" si="7"/>
        <v>2.8530158730158732E-2</v>
      </c>
      <c r="R40" s="16"/>
      <c r="S40" s="16"/>
      <c r="T40" s="16"/>
      <c r="U40" s="16"/>
      <c r="V40" s="79"/>
      <c r="W40" s="16"/>
      <c r="Y40"/>
    </row>
    <row r="41" spans="1:25">
      <c r="A41" s="46" t="s">
        <v>85</v>
      </c>
      <c r="B41" s="46" t="s">
        <v>86</v>
      </c>
      <c r="C41" s="47">
        <v>126000</v>
      </c>
      <c r="D41" s="14">
        <v>167</v>
      </c>
      <c r="E41" s="13">
        <v>47</v>
      </c>
      <c r="F41" s="13">
        <v>34</v>
      </c>
      <c r="G41" s="19">
        <v>5.765E-2</v>
      </c>
      <c r="H41" s="45">
        <f t="shared" si="5"/>
        <v>266866</v>
      </c>
      <c r="I41" s="27" t="s">
        <v>131</v>
      </c>
      <c r="J41" s="31">
        <v>0.7</v>
      </c>
      <c r="K41" s="38">
        <f>IFERROR((VLOOKUP(I41,'DADES VOLUMS'!$A$3:$J$1005,5,FALSE))/('CÀLCUL QUANTITATS VOLUM'!H41)*('CÀLCUL QUANTITATS VOLUM'!J41),"")</f>
        <v>472.14707006512629</v>
      </c>
      <c r="L41" s="39">
        <f>IFERROR(G41*K41*VLOOKUP(I41,'DADES VOLUMS'!$A$3:$J$1005,6,FALSE),"")</f>
        <v>27.219278589254529</v>
      </c>
      <c r="M41" s="39">
        <f>IFERROR(IF(L41&gt;VLOOKUP(I41,'DADES VOLUMS'!$A$3:$J$1005,9,FALSE),VLOOKUP(I41,'DADES VOLUMS'!$A$3:$J$1005,9,FALSE),L41),"")</f>
        <v>27.219278589254529</v>
      </c>
      <c r="N41" s="40">
        <f t="shared" si="6"/>
        <v>472.14707006512629</v>
      </c>
      <c r="O41" s="39">
        <f>IFERROR(N41*VLOOKUP(I41,'DADES VOLUMS'!$A$3:$J$1005,6,FALSE),"")</f>
        <v>472.14707006512629</v>
      </c>
      <c r="P41" s="42">
        <f>IFERROR(O41*VLOOKUP(I41,'DADES VOLUMS'!$A$3:$J$1005,8,FALSE),"")</f>
        <v>2360.7353503256313</v>
      </c>
      <c r="Q41" s="28">
        <f t="shared" si="7"/>
        <v>9.8839259259259262E-3</v>
      </c>
      <c r="R41" s="16"/>
      <c r="S41" s="16"/>
      <c r="T41" s="16"/>
      <c r="U41" s="16"/>
      <c r="V41" s="79"/>
      <c r="W41" s="16"/>
      <c r="Y41"/>
    </row>
    <row r="42" spans="1:25">
      <c r="A42" s="46" t="s">
        <v>85</v>
      </c>
      <c r="B42" s="46" t="s">
        <v>88</v>
      </c>
      <c r="C42" s="47">
        <v>126000</v>
      </c>
      <c r="D42" s="14">
        <v>112</v>
      </c>
      <c r="E42" s="13">
        <v>53</v>
      </c>
      <c r="F42" s="13">
        <v>26</v>
      </c>
      <c r="G42" s="19">
        <v>3.5819999999999998E-2</v>
      </c>
      <c r="H42" s="45">
        <f t="shared" si="5"/>
        <v>154336</v>
      </c>
      <c r="I42" s="27" t="s">
        <v>131</v>
      </c>
      <c r="J42" s="31">
        <v>0.7</v>
      </c>
      <c r="K42" s="38">
        <f>IFERROR((VLOOKUP(I42,'DADES VOLUMS'!$A$3:$J$1005,5,FALSE))/('CÀLCUL QUANTITATS VOLUM'!H42)*('CÀLCUL QUANTITATS VOLUM'!J42),"")</f>
        <v>816.40058055152394</v>
      </c>
      <c r="L42" s="39">
        <f>IFERROR(G42*K42*VLOOKUP(I42,'DADES VOLUMS'!$A$3:$J$1005,6,FALSE),"")</f>
        <v>29.243468795355586</v>
      </c>
      <c r="M42" s="39">
        <f>IFERROR(IF(L42&gt;VLOOKUP(I42,'DADES VOLUMS'!$A$3:$J$1005,9,FALSE),VLOOKUP(I42,'DADES VOLUMS'!$A$3:$J$1005,9,FALSE),L42),"")</f>
        <v>29.243468795355586</v>
      </c>
      <c r="N42" s="40">
        <f t="shared" si="6"/>
        <v>816.40058055152394</v>
      </c>
      <c r="O42" s="39">
        <f>IFERROR(N42*VLOOKUP(I42,'DADES VOLUMS'!$A$3:$J$1005,6,FALSE),"")</f>
        <v>816.40058055152394</v>
      </c>
      <c r="P42" s="42">
        <f>IFERROR(O42*VLOOKUP(I42,'DADES VOLUMS'!$A$3:$J$1005,8,FALSE),"")</f>
        <v>4082.0029027576197</v>
      </c>
      <c r="Q42" s="28">
        <f t="shared" si="7"/>
        <v>5.7161481481481482E-3</v>
      </c>
      <c r="R42" s="16"/>
      <c r="S42" s="16"/>
      <c r="T42" s="16"/>
      <c r="U42" s="16"/>
      <c r="V42" s="79"/>
      <c r="W42" s="16"/>
      <c r="Y42"/>
    </row>
    <row r="43" spans="1:25">
      <c r="A43" s="46" t="s">
        <v>85</v>
      </c>
      <c r="B43" s="46" t="s">
        <v>89</v>
      </c>
      <c r="C43" s="47">
        <v>126000</v>
      </c>
      <c r="D43" s="14">
        <v>307</v>
      </c>
      <c r="E43" s="13">
        <v>183</v>
      </c>
      <c r="F43" s="13">
        <v>51</v>
      </c>
      <c r="G43" s="19">
        <v>0.18939</v>
      </c>
      <c r="H43" s="45">
        <f t="shared" si="5"/>
        <v>2865231</v>
      </c>
      <c r="I43" s="27" t="s">
        <v>131</v>
      </c>
      <c r="J43" s="31">
        <v>0.8</v>
      </c>
      <c r="K43" s="38">
        <f>IFERROR((VLOOKUP(I43,'DADES VOLUMS'!$A$3:$J$1005,5,FALSE))/('CÀLCUL QUANTITATS VOLUM'!H43)*('CÀLCUL QUANTITATS VOLUM'!J43),"")</f>
        <v>50.257727910943309</v>
      </c>
      <c r="L43" s="39">
        <f>IFERROR(G43*K43*VLOOKUP(I43,'DADES VOLUMS'!$A$3:$J$1005,6,FALSE),"")</f>
        <v>9.5183110890535527</v>
      </c>
      <c r="M43" s="39">
        <f>IFERROR(IF(L43&gt;VLOOKUP(I43,'DADES VOLUMS'!$A$3:$J$1005,9,FALSE),VLOOKUP(I43,'DADES VOLUMS'!$A$3:$J$1005,9,FALSE),L43),"")</f>
        <v>9.5183110890535527</v>
      </c>
      <c r="N43" s="40">
        <f t="shared" si="6"/>
        <v>50.257727910943309</v>
      </c>
      <c r="O43" s="39">
        <f>IFERROR(N43*VLOOKUP(I43,'DADES VOLUMS'!$A$3:$J$1005,6,FALSE),"")</f>
        <v>50.257727910943309</v>
      </c>
      <c r="P43" s="42">
        <f>IFERROR(O43*VLOOKUP(I43,'DADES VOLUMS'!$A$3:$J$1005,8,FALSE),"")</f>
        <v>251.28863955471655</v>
      </c>
      <c r="Q43" s="28">
        <f t="shared" si="7"/>
        <v>9.2854708333333327E-2</v>
      </c>
      <c r="R43" s="16"/>
      <c r="S43" s="16"/>
      <c r="T43" s="16"/>
      <c r="U43" s="16"/>
      <c r="V43" s="79"/>
      <c r="W43" s="16"/>
      <c r="Y43"/>
    </row>
    <row r="44" spans="1:25">
      <c r="A44" s="46" t="s">
        <v>90</v>
      </c>
      <c r="B44" s="46" t="s">
        <v>91</v>
      </c>
      <c r="C44" s="47">
        <v>1700</v>
      </c>
      <c r="D44" s="14">
        <v>223</v>
      </c>
      <c r="E44" s="13">
        <v>107</v>
      </c>
      <c r="F44" s="13">
        <v>42</v>
      </c>
      <c r="G44" s="19">
        <v>0.12255000000000001</v>
      </c>
      <c r="H44" s="45">
        <f t="shared" si="5"/>
        <v>1002162</v>
      </c>
      <c r="I44" s="27" t="s">
        <v>131</v>
      </c>
      <c r="J44" s="31">
        <v>0.8</v>
      </c>
      <c r="K44" s="38">
        <f>IFERROR((VLOOKUP(I44,'DADES VOLUMS'!$A$3:$J$1005,5,FALSE))/('CÀLCUL QUANTITATS VOLUM'!H44)*('CÀLCUL QUANTITATS VOLUM'!J44),"")</f>
        <v>143.68934363905237</v>
      </c>
      <c r="L44" s="39">
        <f>IFERROR(G44*K44*VLOOKUP(I44,'DADES VOLUMS'!$A$3:$J$1005,6,FALSE),"")</f>
        <v>17.60912906296587</v>
      </c>
      <c r="M44" s="39">
        <f>IFERROR(IF(L44&gt;VLOOKUP(I44,'DADES VOLUMS'!$A$3:$J$1005,9,FALSE),VLOOKUP(I44,'DADES VOLUMS'!$A$3:$J$1005,9,FALSE),L44),"")</f>
        <v>17.60912906296587</v>
      </c>
      <c r="N44" s="40">
        <f t="shared" si="6"/>
        <v>143.68934363905237</v>
      </c>
      <c r="O44" s="39">
        <f>IFERROR(N44*VLOOKUP(I44,'DADES VOLUMS'!$A$3:$J$1005,6,FALSE),"")</f>
        <v>143.68934363905237</v>
      </c>
      <c r="P44" s="42">
        <f>IFERROR(O44*VLOOKUP(I44,'DADES VOLUMS'!$A$3:$J$1005,8,FALSE),"")</f>
        <v>718.44671819526184</v>
      </c>
      <c r="Q44" s="28">
        <f t="shared" si="7"/>
        <v>4.3818811728395062E-4</v>
      </c>
      <c r="R44" s="16"/>
      <c r="S44" s="16"/>
      <c r="T44" s="16"/>
      <c r="U44" s="16"/>
      <c r="V44" s="79"/>
      <c r="W44" s="16"/>
      <c r="Y44"/>
    </row>
    <row r="45" spans="1:25">
      <c r="A45" s="46" t="s">
        <v>92</v>
      </c>
      <c r="B45" s="46" t="s">
        <v>93</v>
      </c>
      <c r="C45" s="47">
        <v>191000</v>
      </c>
      <c r="D45" s="14">
        <v>217</v>
      </c>
      <c r="E45" s="13">
        <v>20</v>
      </c>
      <c r="F45" s="13">
        <v>26</v>
      </c>
      <c r="G45" s="19">
        <v>5.4080000000000003E-2</v>
      </c>
      <c r="H45" s="45">
        <f t="shared" si="5"/>
        <v>112840</v>
      </c>
      <c r="I45" s="27" t="s">
        <v>131</v>
      </c>
      <c r="J45" s="31">
        <v>0.75</v>
      </c>
      <c r="K45" s="38">
        <f>IFERROR((VLOOKUP(I45,'DADES VOLUMS'!$A$3:$J$1005,5,FALSE))/('CÀLCUL QUANTITATS VOLUM'!H45)*('CÀLCUL QUANTITATS VOLUM'!J45),"")</f>
        <v>1196.38426090039</v>
      </c>
      <c r="L45" s="39">
        <f>IFERROR(G45*K45*VLOOKUP(I45,'DADES VOLUMS'!$A$3:$J$1005,6,FALSE),"")</f>
        <v>64.700460829493096</v>
      </c>
      <c r="M45" s="39">
        <f>IFERROR(IF(L45&gt;VLOOKUP(I45,'DADES VOLUMS'!$A$3:$J$1005,9,FALSE),VLOOKUP(I45,'DADES VOLUMS'!$A$3:$J$1005,9,FALSE),L45),"")</f>
        <v>64.700460829493096</v>
      </c>
      <c r="N45" s="40">
        <f t="shared" si="6"/>
        <v>1196.38426090039</v>
      </c>
      <c r="O45" s="39">
        <f>IFERROR(N45*VLOOKUP(I45,'DADES VOLUMS'!$A$3:$J$1005,6,FALSE),"")</f>
        <v>1196.38426090039</v>
      </c>
      <c r="P45" s="42">
        <f>IFERROR(O45*VLOOKUP(I45,'DADES VOLUMS'!$A$3:$J$1005,8,FALSE),"")</f>
        <v>5981.9213045019496</v>
      </c>
      <c r="Q45" s="28">
        <f t="shared" si="7"/>
        <v>5.9128779149519887E-3</v>
      </c>
      <c r="R45" s="16"/>
      <c r="S45" s="16"/>
      <c r="T45" s="16"/>
      <c r="U45" s="16"/>
      <c r="V45" s="79"/>
      <c r="W45" s="16"/>
      <c r="Y45"/>
    </row>
    <row r="46" spans="1:25">
      <c r="A46" s="46" t="s">
        <v>92</v>
      </c>
      <c r="B46" s="46" t="s">
        <v>94</v>
      </c>
      <c r="C46" s="47">
        <v>950000</v>
      </c>
      <c r="D46" s="14">
        <v>31</v>
      </c>
      <c r="E46" s="13">
        <v>18</v>
      </c>
      <c r="F46" s="13">
        <v>12</v>
      </c>
      <c r="G46" s="19">
        <v>2.7100000000000002E-3</v>
      </c>
      <c r="H46" s="45">
        <f t="shared" si="5"/>
        <v>6696</v>
      </c>
      <c r="I46" s="27" t="s">
        <v>131</v>
      </c>
      <c r="J46" s="31">
        <v>0.75</v>
      </c>
      <c r="K46" s="38">
        <f>IFERROR((VLOOKUP(I46,'DADES VOLUMS'!$A$3:$J$1005,5,FALSE))/('CÀLCUL QUANTITATS VOLUM'!H46)*('CÀLCUL QUANTITATS VOLUM'!J46),"")</f>
        <v>20161.290322580644</v>
      </c>
      <c r="L46" s="39">
        <f>IFERROR(G46*K46*VLOOKUP(I46,'DADES VOLUMS'!$A$3:$J$1005,6,FALSE),"")</f>
        <v>54.637096774193552</v>
      </c>
      <c r="M46" s="39">
        <f>IFERROR(IF(L46&gt;VLOOKUP(I46,'DADES VOLUMS'!$A$3:$J$1005,9,FALSE),VLOOKUP(I46,'DADES VOLUMS'!$A$3:$J$1005,9,FALSE),L46),"")</f>
        <v>54.637096774193552</v>
      </c>
      <c r="N46" s="40">
        <f t="shared" si="6"/>
        <v>20161.290322580644</v>
      </c>
      <c r="O46" s="39">
        <f>IFERROR(N46*VLOOKUP(I46,'DADES VOLUMS'!$A$3:$J$1005,6,FALSE),"")</f>
        <v>20161.290322580644</v>
      </c>
      <c r="P46" s="42">
        <f>IFERROR(O46*VLOOKUP(I46,'DADES VOLUMS'!$A$3:$J$1005,8,FALSE),"")</f>
        <v>100806.45161290321</v>
      </c>
      <c r="Q46" s="28">
        <f t="shared" si="7"/>
        <v>1.7451851851851853E-3</v>
      </c>
      <c r="R46" s="16"/>
      <c r="S46" s="16"/>
      <c r="T46" s="16"/>
      <c r="U46" s="16"/>
      <c r="V46" s="79"/>
      <c r="W46" s="16"/>
      <c r="Y46"/>
    </row>
    <row r="47" spans="1:25">
      <c r="A47" s="46" t="s">
        <v>95</v>
      </c>
      <c r="B47" s="46" t="s">
        <v>96</v>
      </c>
      <c r="C47" s="47">
        <v>1030808</v>
      </c>
      <c r="D47" s="14">
        <v>99</v>
      </c>
      <c r="E47" s="13">
        <v>44</v>
      </c>
      <c r="F47" s="13">
        <v>43</v>
      </c>
      <c r="G47" s="19">
        <v>0.10166</v>
      </c>
      <c r="H47" s="45">
        <f t="shared" si="5"/>
        <v>187308</v>
      </c>
      <c r="I47" s="27" t="s">
        <v>131</v>
      </c>
      <c r="J47" s="31">
        <v>0.75</v>
      </c>
      <c r="K47" s="38">
        <f>IFERROR((VLOOKUP(I47,'DADES VOLUMS'!$A$3:$J$1005,5,FALSE))/('CÀLCUL QUANTITATS VOLUM'!H47)*('CÀLCUL QUANTITATS VOLUM'!J47),"")</f>
        <v>720.73803574860653</v>
      </c>
      <c r="L47" s="39">
        <f>IFERROR(G47*K47*VLOOKUP(I47,'DADES VOLUMS'!$A$3:$J$1005,6,FALSE),"")</f>
        <v>73.270228714203341</v>
      </c>
      <c r="M47" s="39">
        <f>IFERROR(IF(L47&gt;VLOOKUP(I47,'DADES VOLUMS'!$A$3:$J$1005,9,FALSE),VLOOKUP(I47,'DADES VOLUMS'!$A$3:$J$1005,9,FALSE),L47),"")</f>
        <v>73.270228714203341</v>
      </c>
      <c r="N47" s="40">
        <f t="shared" si="6"/>
        <v>720.73803574860653</v>
      </c>
      <c r="O47" s="39">
        <f>IFERROR(N47*VLOOKUP(I47,'DADES VOLUMS'!$A$3:$J$1005,6,FALSE),"")</f>
        <v>720.73803574860653</v>
      </c>
      <c r="P47" s="42">
        <f>IFERROR(O47*VLOOKUP(I47,'DADES VOLUMS'!$A$3:$J$1005,8,FALSE),"")</f>
        <v>3603.6901787430324</v>
      </c>
      <c r="Q47" s="28">
        <f t="shared" si="7"/>
        <v>5.2970805175308652E-2</v>
      </c>
      <c r="R47" s="16"/>
      <c r="S47" s="16"/>
      <c r="T47" s="16"/>
      <c r="U47" s="16"/>
      <c r="V47" s="79"/>
      <c r="W47" s="16"/>
      <c r="Y47"/>
    </row>
    <row r="48" spans="1:25">
      <c r="A48" s="46" t="s">
        <v>98</v>
      </c>
      <c r="B48" s="46">
        <v>6598206</v>
      </c>
      <c r="C48" s="47">
        <v>100000</v>
      </c>
      <c r="D48" s="14">
        <v>80</v>
      </c>
      <c r="E48" s="13">
        <v>65</v>
      </c>
      <c r="F48" s="13">
        <v>32</v>
      </c>
      <c r="G48" s="19">
        <v>6.1129999999999997E-2</v>
      </c>
      <c r="H48" s="45">
        <f t="shared" si="5"/>
        <v>166400</v>
      </c>
      <c r="I48" s="27" t="s">
        <v>131</v>
      </c>
      <c r="J48" s="31">
        <v>0.75</v>
      </c>
      <c r="K48" s="38">
        <f>IFERROR((VLOOKUP(I48,'DADES VOLUMS'!$A$3:$J$1005,5,FALSE))/('CÀLCUL QUANTITATS VOLUM'!H48)*('CÀLCUL QUANTITATS VOLUM'!J48),"")</f>
        <v>811.29807692307691</v>
      </c>
      <c r="L48" s="39">
        <f>IFERROR(G48*K48*VLOOKUP(I48,'DADES VOLUMS'!$A$3:$J$1005,6,FALSE),"")</f>
        <v>49.594651442307686</v>
      </c>
      <c r="M48" s="39">
        <f>IFERROR(IF(L48&gt;VLOOKUP(I48,'DADES VOLUMS'!$A$3:$J$1005,9,FALSE),VLOOKUP(I48,'DADES VOLUMS'!$A$3:$J$1005,9,FALSE),L48),"")</f>
        <v>49.594651442307686</v>
      </c>
      <c r="N48" s="40">
        <f t="shared" si="6"/>
        <v>811.29807692307691</v>
      </c>
      <c r="O48" s="39">
        <f>IFERROR(N48*VLOOKUP(I48,'DADES VOLUMS'!$A$3:$J$1005,6,FALSE),"")</f>
        <v>811.29807692307691</v>
      </c>
      <c r="P48" s="42">
        <f>IFERROR(O48*VLOOKUP(I48,'DADES VOLUMS'!$A$3:$J$1005,8,FALSE),"")</f>
        <v>4056.4903846153848</v>
      </c>
      <c r="Q48" s="28">
        <f t="shared" si="7"/>
        <v>4.5651577503429356E-3</v>
      </c>
      <c r="R48" s="16"/>
      <c r="S48" s="16"/>
      <c r="T48" s="16"/>
      <c r="U48" s="16"/>
      <c r="V48" s="79"/>
      <c r="W48" s="16"/>
      <c r="Y48"/>
    </row>
    <row r="49" spans="1:25">
      <c r="A49" s="46" t="s">
        <v>98</v>
      </c>
      <c r="B49" s="46">
        <v>6598207</v>
      </c>
      <c r="C49" s="47">
        <v>10000</v>
      </c>
      <c r="D49" s="14">
        <v>64</v>
      </c>
      <c r="E49" s="13">
        <v>55</v>
      </c>
      <c r="F49" s="13">
        <v>32</v>
      </c>
      <c r="G49" s="19">
        <v>5.033E-2</v>
      </c>
      <c r="H49" s="45">
        <f t="shared" si="5"/>
        <v>112640</v>
      </c>
      <c r="I49" s="27" t="s">
        <v>131</v>
      </c>
      <c r="J49" s="31">
        <v>0.75</v>
      </c>
      <c r="K49" s="38">
        <f>IFERROR((VLOOKUP(I49,'DADES VOLUMS'!$A$3:$J$1005,5,FALSE))/('CÀLCUL QUANTITATS VOLUM'!H49)*('CÀLCUL QUANTITATS VOLUM'!J49),"")</f>
        <v>1198.5085227272727</v>
      </c>
      <c r="L49" s="39">
        <f>IFERROR(G49*K49*VLOOKUP(I49,'DADES VOLUMS'!$A$3:$J$1005,6,FALSE),"")</f>
        <v>60.32093394886364</v>
      </c>
      <c r="M49" s="39">
        <f>IFERROR(IF(L49&gt;VLOOKUP(I49,'DADES VOLUMS'!$A$3:$J$1005,9,FALSE),VLOOKUP(I49,'DADES VOLUMS'!$A$3:$J$1005,9,FALSE),L49),"")</f>
        <v>60.32093394886364</v>
      </c>
      <c r="N49" s="40">
        <f t="shared" si="6"/>
        <v>1198.5085227272727</v>
      </c>
      <c r="O49" s="39">
        <f>IFERROR(N49*VLOOKUP(I49,'DADES VOLUMS'!$A$3:$J$1005,6,FALSE),"")</f>
        <v>1198.5085227272727</v>
      </c>
      <c r="P49" s="42">
        <f>IFERROR(O49*VLOOKUP(I49,'DADES VOLUMS'!$A$3:$J$1005,8,FALSE),"")</f>
        <v>5992.542613636364</v>
      </c>
      <c r="Q49" s="28">
        <f t="shared" si="7"/>
        <v>3.0902606310013715E-4</v>
      </c>
      <c r="R49" s="16"/>
      <c r="S49" s="16"/>
      <c r="T49" s="16"/>
      <c r="U49" s="16"/>
      <c r="V49" s="79"/>
      <c r="W49" s="16"/>
      <c r="Y49"/>
    </row>
    <row r="50" spans="1:25">
      <c r="A50" s="46" t="s">
        <v>79</v>
      </c>
      <c r="B50" s="46" t="s">
        <v>80</v>
      </c>
      <c r="C50" s="47">
        <v>297042</v>
      </c>
      <c r="D50" s="14">
        <v>99</v>
      </c>
      <c r="E50" s="13">
        <v>76</v>
      </c>
      <c r="F50" s="13">
        <v>43</v>
      </c>
      <c r="G50" s="19">
        <v>0.1249</v>
      </c>
      <c r="H50" s="45">
        <f t="shared" si="5"/>
        <v>323532</v>
      </c>
      <c r="I50" s="27" t="s">
        <v>131</v>
      </c>
      <c r="J50" s="31">
        <v>0.75</v>
      </c>
      <c r="K50" s="38">
        <f>IFERROR((VLOOKUP(I50,'DADES VOLUMS'!$A$3:$J$1005,5,FALSE))/('CÀLCUL QUANTITATS VOLUM'!H50)*('CÀLCUL QUANTITATS VOLUM'!J50),"")</f>
        <v>417.26938911761431</v>
      </c>
      <c r="L50" s="39">
        <f>IFERROR(G50*K50*VLOOKUP(I50,'DADES VOLUMS'!$A$3:$J$1005,6,FALSE),"")</f>
        <v>52.116946700790024</v>
      </c>
      <c r="M50" s="39">
        <f>IFERROR(IF(L50&gt;VLOOKUP(I50,'DADES VOLUMS'!$A$3:$J$1005,9,FALSE),VLOOKUP(I50,'DADES VOLUMS'!$A$3:$J$1005,9,FALSE),L50),"")</f>
        <v>52.116946700790024</v>
      </c>
      <c r="N50" s="40">
        <f t="shared" si="6"/>
        <v>417.26938911761431</v>
      </c>
      <c r="O50" s="39">
        <f>IFERROR(N50*VLOOKUP(I50,'DADES VOLUMS'!$A$3:$J$1005,6,FALSE),"")</f>
        <v>417.26938911761431</v>
      </c>
      <c r="P50" s="42">
        <f>IFERROR(O50*VLOOKUP(I50,'DADES VOLUMS'!$A$3:$J$1005,8,FALSE),"")</f>
        <v>2086.3469455880713</v>
      </c>
      <c r="Q50" s="28">
        <f t="shared" si="7"/>
        <v>2.6365594607407412E-2</v>
      </c>
      <c r="R50" s="16"/>
      <c r="S50" s="16"/>
      <c r="T50" s="16"/>
      <c r="U50" s="16"/>
      <c r="V50" s="79"/>
      <c r="W50" s="16"/>
      <c r="Y50"/>
    </row>
    <row r="51" spans="1:25">
      <c r="A51" s="46" t="s">
        <v>99</v>
      </c>
      <c r="B51" s="46">
        <v>633234500</v>
      </c>
      <c r="C51" s="47">
        <v>37700</v>
      </c>
      <c r="D51" s="14">
        <v>274</v>
      </c>
      <c r="E51" s="13">
        <v>42</v>
      </c>
      <c r="F51" s="13">
        <v>28</v>
      </c>
      <c r="G51" s="19">
        <v>0.155</v>
      </c>
      <c r="H51" s="45">
        <f t="shared" si="5"/>
        <v>322224</v>
      </c>
      <c r="I51" s="27" t="s">
        <v>131</v>
      </c>
      <c r="J51" s="31">
        <v>0.75</v>
      </c>
      <c r="K51" s="38">
        <f>IFERROR((VLOOKUP(I51,'DADES VOLUMS'!$A$3:$J$1005,5,FALSE))/('CÀLCUL QUANTITATS VOLUM'!H51)*('CÀLCUL QUANTITATS VOLUM'!J51),"")</f>
        <v>418.96320572024428</v>
      </c>
      <c r="L51" s="39">
        <f>IFERROR(G51*K51*VLOOKUP(I51,'DADES VOLUMS'!$A$3:$J$1005,6,FALSE),"")</f>
        <v>64.939296886637862</v>
      </c>
      <c r="M51" s="39">
        <f>IFERROR(IF(L51&gt;VLOOKUP(I51,'DADES VOLUMS'!$A$3:$J$1005,9,FALSE),VLOOKUP(I51,'DADES VOLUMS'!$A$3:$J$1005,9,FALSE),L51),"")</f>
        <v>64.939296886637862</v>
      </c>
      <c r="N51" s="40">
        <f t="shared" si="6"/>
        <v>418.96320572024428</v>
      </c>
      <c r="O51" s="39">
        <f>IFERROR(N51*VLOOKUP(I51,'DADES VOLUMS'!$A$3:$J$1005,6,FALSE),"")</f>
        <v>418.96320572024428</v>
      </c>
      <c r="P51" s="42">
        <f>IFERROR(O51*VLOOKUP(I51,'DADES VOLUMS'!$A$3:$J$1005,8,FALSE),"")</f>
        <v>2094.8160286012212</v>
      </c>
      <c r="Q51" s="28">
        <f t="shared" si="7"/>
        <v>3.3327420576131691E-3</v>
      </c>
      <c r="R51" s="16"/>
      <c r="S51" s="16"/>
      <c r="T51" s="16"/>
      <c r="U51" s="16"/>
      <c r="V51" s="79"/>
      <c r="W51" s="16"/>
      <c r="Y51"/>
    </row>
    <row r="52" spans="1:25">
      <c r="A52" s="46" t="s">
        <v>69</v>
      </c>
      <c r="B52" s="46">
        <v>634719800</v>
      </c>
      <c r="C52" s="47">
        <v>49000</v>
      </c>
      <c r="D52" s="14">
        <v>191</v>
      </c>
      <c r="E52" s="13">
        <v>92</v>
      </c>
      <c r="F52" s="13">
        <v>76</v>
      </c>
      <c r="G52" s="19">
        <v>0.26751000000000003</v>
      </c>
      <c r="H52" s="45">
        <f t="shared" ref="H52:H76" si="8">F52*E52*D52</f>
        <v>1335472</v>
      </c>
      <c r="I52" s="27" t="s">
        <v>131</v>
      </c>
      <c r="J52" s="31">
        <v>0.75</v>
      </c>
      <c r="K52" s="38">
        <f>IFERROR((VLOOKUP(I52,'DADES VOLUMS'!$A$3:$J$1005,5,FALSE))/('CÀLCUL QUANTITATS VOLUM'!H52)*('CÀLCUL QUANTITATS VOLUM'!J52),"")</f>
        <v>101.08785508045095</v>
      </c>
      <c r="L52" s="39">
        <f>IFERROR(G52*K52*VLOOKUP(I52,'DADES VOLUMS'!$A$3:$J$1005,6,FALSE),"")</f>
        <v>27.042012112571435</v>
      </c>
      <c r="M52" s="39">
        <f>IFERROR(IF(L52&gt;VLOOKUP(I52,'DADES VOLUMS'!$A$3:$J$1005,9,FALSE),VLOOKUP(I52,'DADES VOLUMS'!$A$3:$J$1005,9,FALSE),L52),"")</f>
        <v>27.042012112571435</v>
      </c>
      <c r="N52" s="40">
        <f t="shared" si="6"/>
        <v>101.08785508045096</v>
      </c>
      <c r="O52" s="39">
        <f>IFERROR(N52*VLOOKUP(I52,'DADES VOLUMS'!$A$3:$J$1005,6,FALSE),"")</f>
        <v>101.08785508045096</v>
      </c>
      <c r="P52" s="42">
        <f>IFERROR(O52*VLOOKUP(I52,'DADES VOLUMS'!$A$3:$J$1005,8,FALSE),"")</f>
        <v>505.43927540225479</v>
      </c>
      <c r="Q52" s="28">
        <f t="shared" si="7"/>
        <v>1.795284718792867E-2</v>
      </c>
      <c r="R52" s="16"/>
      <c r="S52" s="16"/>
      <c r="T52" s="16"/>
      <c r="U52" s="16"/>
      <c r="V52" s="79"/>
      <c r="W52" s="16"/>
      <c r="Y52"/>
    </row>
    <row r="53" spans="1:25">
      <c r="A53" s="46" t="s">
        <v>100</v>
      </c>
      <c r="B53" s="46" t="s">
        <v>101</v>
      </c>
      <c r="C53" s="47">
        <v>4500000</v>
      </c>
      <c r="D53" s="14">
        <v>24.5</v>
      </c>
      <c r="E53" s="13">
        <v>24.5</v>
      </c>
      <c r="F53" s="13">
        <v>1.55</v>
      </c>
      <c r="G53" s="19">
        <v>9.6000000000000002E-4</v>
      </c>
      <c r="H53" s="45">
        <f t="shared" si="8"/>
        <v>930.38750000000005</v>
      </c>
      <c r="I53" s="27" t="s">
        <v>131</v>
      </c>
      <c r="J53" s="31">
        <v>0.75</v>
      </c>
      <c r="K53" s="38">
        <f>IFERROR((VLOOKUP(I53,'DADES VOLUMS'!$A$3:$J$1005,5,FALSE))/('CÀLCUL QUANTITATS VOLUM'!H53)*('CÀLCUL QUANTITATS VOLUM'!J53),"")</f>
        <v>145100.83164272952</v>
      </c>
      <c r="L53" s="39">
        <f>IFERROR(G53*K53*VLOOKUP(I53,'DADES VOLUMS'!$A$3:$J$1005,6,FALSE),"")</f>
        <v>139.29679837702034</v>
      </c>
      <c r="M53" s="39">
        <f>IFERROR(IF(L53&gt;VLOOKUP(I53,'DADES VOLUMS'!$A$3:$J$1005,9,FALSE),VLOOKUP(I53,'DADES VOLUMS'!$A$3:$J$1005,9,FALSE),L53),"")</f>
        <v>139.29679837702034</v>
      </c>
      <c r="N53" s="40">
        <f t="shared" ref="N53:N76" si="9">IFERROR(K53*M53/L53,"")</f>
        <v>145100.83164272952</v>
      </c>
      <c r="O53" s="39">
        <f>IFERROR(N53*VLOOKUP(I53,'DADES VOLUMS'!$A$3:$J$1005,6,FALSE),"")</f>
        <v>145100.83164272952</v>
      </c>
      <c r="P53" s="42">
        <f>IFERROR(O53*VLOOKUP(I53,'DADES VOLUMS'!$A$3:$J$1005,8,FALSE),"")</f>
        <v>725504.15821364755</v>
      </c>
      <c r="Q53" s="28">
        <f t="shared" ref="Q53:Q76" si="10">IFERROR(C53/P53/5400,"")</f>
        <v>1.1486265432098764E-3</v>
      </c>
      <c r="R53" s="16"/>
      <c r="S53" s="16"/>
      <c r="T53" s="16"/>
      <c r="U53" s="16"/>
      <c r="V53" s="79"/>
      <c r="W53" s="16"/>
      <c r="Y53"/>
    </row>
    <row r="54" spans="1:25">
      <c r="A54" s="46" t="s">
        <v>102</v>
      </c>
      <c r="B54" s="46">
        <v>9470018</v>
      </c>
      <c r="C54" s="47">
        <v>5125000</v>
      </c>
      <c r="D54" s="14">
        <v>19</v>
      </c>
      <c r="E54" s="13">
        <v>16</v>
      </c>
      <c r="F54" s="13">
        <v>13</v>
      </c>
      <c r="G54" s="19">
        <v>8.5800000000000004E-4</v>
      </c>
      <c r="H54" s="45">
        <f t="shared" si="8"/>
        <v>3952</v>
      </c>
      <c r="I54" s="27" t="s">
        <v>131</v>
      </c>
      <c r="J54" s="31">
        <v>0.5</v>
      </c>
      <c r="K54" s="38">
        <f>IFERROR((VLOOKUP(I54,'DADES VOLUMS'!$A$3:$J$1005,5,FALSE))/('CÀLCUL QUANTITATS VOLUM'!H54)*('CÀLCUL QUANTITATS VOLUM'!J54),"")</f>
        <v>22773.27935222672</v>
      </c>
      <c r="L54" s="39">
        <f>IFERROR(G54*K54*VLOOKUP(I54,'DADES VOLUMS'!$A$3:$J$1005,6,FALSE),"")</f>
        <v>19.539473684210527</v>
      </c>
      <c r="M54" s="39">
        <f>IFERROR(IF(L54&gt;VLOOKUP(I54,'DADES VOLUMS'!$A$3:$J$1005,9,FALSE),VLOOKUP(I54,'DADES VOLUMS'!$A$3:$J$1005,9,FALSE),L54),"")</f>
        <v>19.539473684210527</v>
      </c>
      <c r="N54" s="40">
        <f t="shared" si="9"/>
        <v>22773.27935222672</v>
      </c>
      <c r="O54" s="39">
        <f>IFERROR(N54*VLOOKUP(I54,'DADES VOLUMS'!$A$3:$J$1005,6,FALSE),"")</f>
        <v>22773.27935222672</v>
      </c>
      <c r="P54" s="42">
        <f>IFERROR(O54*VLOOKUP(I54,'DADES VOLUMS'!$A$3:$J$1005,8,FALSE),"")</f>
        <v>113866.3967611336</v>
      </c>
      <c r="Q54" s="28">
        <f t="shared" si="10"/>
        <v>8.334979423868313E-3</v>
      </c>
      <c r="R54" s="16"/>
      <c r="S54" s="16"/>
      <c r="T54" s="16"/>
      <c r="U54" s="16"/>
      <c r="V54" s="79"/>
      <c r="W54" s="16"/>
      <c r="Y54"/>
    </row>
    <row r="55" spans="1:25">
      <c r="A55" s="46" t="s">
        <v>103</v>
      </c>
      <c r="B55" s="46">
        <v>663835800</v>
      </c>
      <c r="C55" s="47">
        <v>61000</v>
      </c>
      <c r="D55" s="14">
        <v>276</v>
      </c>
      <c r="E55" s="13">
        <v>96</v>
      </c>
      <c r="F55" s="13">
        <v>47</v>
      </c>
      <c r="G55" s="19">
        <v>0.44242999999999999</v>
      </c>
      <c r="H55" s="45">
        <f t="shared" si="8"/>
        <v>1245312</v>
      </c>
      <c r="I55" s="27" t="s">
        <v>131</v>
      </c>
      <c r="J55" s="31">
        <v>0.75</v>
      </c>
      <c r="K55" s="38">
        <f>IFERROR((VLOOKUP(I55,'DADES VOLUMS'!$A$3:$J$1005,5,FALSE))/('CÀLCUL QUANTITATS VOLUM'!H55)*('CÀLCUL QUANTITATS VOLUM'!J55),"")</f>
        <v>108.40656799259943</v>
      </c>
      <c r="L55" s="39">
        <f>IFERROR(G55*K55*VLOOKUP(I55,'DADES VOLUMS'!$A$3:$J$1005,6,FALSE),"")</f>
        <v>47.96231787696577</v>
      </c>
      <c r="M55" s="39">
        <f>IFERROR(IF(L55&gt;VLOOKUP(I55,'DADES VOLUMS'!$A$3:$J$1005,9,FALSE),VLOOKUP(I55,'DADES VOLUMS'!$A$3:$J$1005,9,FALSE),L55),"")</f>
        <v>47.96231787696577</v>
      </c>
      <c r="N55" s="40">
        <f t="shared" si="9"/>
        <v>108.40656799259943</v>
      </c>
      <c r="O55" s="39">
        <f>IFERROR(N55*VLOOKUP(I55,'DADES VOLUMS'!$A$3:$J$1005,6,FALSE),"")</f>
        <v>108.40656799259943</v>
      </c>
      <c r="P55" s="42">
        <f>IFERROR(O55*VLOOKUP(I55,'DADES VOLUMS'!$A$3:$J$1005,8,FALSE),"")</f>
        <v>542.03283996299717</v>
      </c>
      <c r="Q55" s="28">
        <f t="shared" si="10"/>
        <v>2.0840612345679015E-2</v>
      </c>
      <c r="R55" s="16"/>
      <c r="S55" s="16"/>
      <c r="T55" s="16"/>
      <c r="U55" s="16"/>
      <c r="V55" s="79"/>
      <c r="W55" s="16"/>
      <c r="Y55"/>
    </row>
    <row r="56" spans="1:25">
      <c r="A56" s="46" t="s">
        <v>104</v>
      </c>
      <c r="B56" s="46">
        <v>34274769</v>
      </c>
      <c r="C56" s="47">
        <v>200000</v>
      </c>
      <c r="D56" s="14">
        <v>223</v>
      </c>
      <c r="E56" s="13">
        <v>36</v>
      </c>
      <c r="F56" s="13">
        <v>32</v>
      </c>
      <c r="G56" s="19">
        <v>8.412E-2</v>
      </c>
      <c r="H56" s="45">
        <f t="shared" si="8"/>
        <v>256896</v>
      </c>
      <c r="I56" s="27" t="s">
        <v>131</v>
      </c>
      <c r="J56" s="31">
        <v>0.75</v>
      </c>
      <c r="K56" s="38">
        <f>IFERROR((VLOOKUP(I56,'DADES VOLUMS'!$A$3:$J$1005,5,FALSE))/('CÀLCUL QUANTITATS VOLUM'!H56)*('CÀLCUL QUANTITATS VOLUM'!J56),"")</f>
        <v>525.5044843049327</v>
      </c>
      <c r="L56" s="39">
        <f>IFERROR(G56*K56*VLOOKUP(I56,'DADES VOLUMS'!$A$3:$J$1005,6,FALSE),"")</f>
        <v>44.205437219730939</v>
      </c>
      <c r="M56" s="39">
        <f>IFERROR(IF(L56&gt;VLOOKUP(I56,'DADES VOLUMS'!$A$3:$J$1005,9,FALSE),VLOOKUP(I56,'DADES VOLUMS'!$A$3:$J$1005,9,FALSE),L56),"")</f>
        <v>44.205437219730939</v>
      </c>
      <c r="N56" s="40">
        <f t="shared" si="9"/>
        <v>525.5044843049327</v>
      </c>
      <c r="O56" s="39">
        <f>IFERROR(N56*VLOOKUP(I56,'DADES VOLUMS'!$A$3:$J$1005,6,FALSE),"")</f>
        <v>525.5044843049327</v>
      </c>
      <c r="P56" s="42">
        <f>IFERROR(O56*VLOOKUP(I56,'DADES VOLUMS'!$A$3:$J$1005,8,FALSE),"")</f>
        <v>2627.5224215246635</v>
      </c>
      <c r="Q56" s="28">
        <f t="shared" si="10"/>
        <v>1.4095802469135802E-2</v>
      </c>
      <c r="R56" s="16"/>
      <c r="S56" s="16"/>
      <c r="T56" s="16"/>
      <c r="U56" s="16"/>
      <c r="V56" s="79"/>
      <c r="W56" s="16"/>
      <c r="Y56"/>
    </row>
    <row r="57" spans="1:25">
      <c r="A57" s="46" t="s">
        <v>105</v>
      </c>
      <c r="B57" s="46" t="s">
        <v>106</v>
      </c>
      <c r="C57" s="47">
        <v>200000</v>
      </c>
      <c r="D57" s="14">
        <v>285</v>
      </c>
      <c r="E57" s="13">
        <v>43</v>
      </c>
      <c r="F57" s="13">
        <v>43</v>
      </c>
      <c r="G57" s="19">
        <v>0.10946</v>
      </c>
      <c r="H57" s="45">
        <f t="shared" si="8"/>
        <v>526965</v>
      </c>
      <c r="I57" s="27" t="s">
        <v>131</v>
      </c>
      <c r="J57" s="31">
        <v>0.75</v>
      </c>
      <c r="K57" s="38">
        <f>IFERROR((VLOOKUP(I57,'DADES VOLUMS'!$A$3:$J$1005,5,FALSE))/('CÀLCUL QUANTITATS VOLUM'!H57)*('CÀLCUL QUANTITATS VOLUM'!J57),"")</f>
        <v>256.18399703965156</v>
      </c>
      <c r="L57" s="39">
        <f>IFERROR(G57*K57*VLOOKUP(I57,'DADES VOLUMS'!$A$3:$J$1005,6,FALSE),"")</f>
        <v>28.041900315960259</v>
      </c>
      <c r="M57" s="39">
        <f>IFERROR(IF(L57&gt;VLOOKUP(I57,'DADES VOLUMS'!$A$3:$J$1005,9,FALSE),VLOOKUP(I57,'DADES VOLUMS'!$A$3:$J$1005,9,FALSE),L57),"")</f>
        <v>28.041900315960259</v>
      </c>
      <c r="N57" s="40">
        <f t="shared" si="9"/>
        <v>256.18399703965156</v>
      </c>
      <c r="O57" s="39">
        <f>IFERROR(N57*VLOOKUP(I57,'DADES VOLUMS'!$A$3:$J$1005,6,FALSE),"")</f>
        <v>256.18399703965156</v>
      </c>
      <c r="P57" s="42">
        <f>IFERROR(O57*VLOOKUP(I57,'DADES VOLUMS'!$A$3:$J$1005,8,FALSE),"")</f>
        <v>1280.9199851982578</v>
      </c>
      <c r="Q57" s="28">
        <f t="shared" si="10"/>
        <v>2.8914403292181073E-2</v>
      </c>
      <c r="R57" s="16"/>
      <c r="S57" s="16"/>
      <c r="T57" s="16"/>
      <c r="U57" s="16"/>
      <c r="V57" s="79"/>
      <c r="W57" s="16"/>
      <c r="Y57"/>
    </row>
    <row r="58" spans="1:25">
      <c r="A58" s="46" t="s">
        <v>105</v>
      </c>
      <c r="B58" s="46" t="s">
        <v>107</v>
      </c>
      <c r="C58" s="47">
        <v>100000</v>
      </c>
      <c r="D58" s="14">
        <v>196</v>
      </c>
      <c r="E58" s="13">
        <v>88</v>
      </c>
      <c r="F58" s="13">
        <v>45</v>
      </c>
      <c r="G58" s="19">
        <v>0.10165</v>
      </c>
      <c r="H58" s="45">
        <f t="shared" si="8"/>
        <v>776160</v>
      </c>
      <c r="I58" s="27" t="s">
        <v>131</v>
      </c>
      <c r="J58" s="31">
        <v>0.75</v>
      </c>
      <c r="K58" s="38">
        <f>IFERROR((VLOOKUP(I58,'DADES VOLUMS'!$A$3:$J$1005,5,FALSE))/('CÀLCUL QUANTITATS VOLUM'!H58)*('CÀLCUL QUANTITATS VOLUM'!J58),"")</f>
        <v>173.93320964749537</v>
      </c>
      <c r="L58" s="39">
        <f>IFERROR(G58*K58*VLOOKUP(I58,'DADES VOLUMS'!$A$3:$J$1005,6,FALSE),"")</f>
        <v>17.680310760667904</v>
      </c>
      <c r="M58" s="39">
        <f>IFERROR(IF(L58&gt;VLOOKUP(I58,'DADES VOLUMS'!$A$3:$J$1005,9,FALSE),VLOOKUP(I58,'DADES VOLUMS'!$A$3:$J$1005,9,FALSE),L58),"")</f>
        <v>17.680310760667904</v>
      </c>
      <c r="N58" s="40">
        <f t="shared" si="9"/>
        <v>173.93320964749537</v>
      </c>
      <c r="O58" s="39">
        <f>IFERROR(N58*VLOOKUP(I58,'DADES VOLUMS'!$A$3:$J$1005,6,FALSE),"")</f>
        <v>173.93320964749537</v>
      </c>
      <c r="P58" s="42">
        <f>IFERROR(O58*VLOOKUP(I58,'DADES VOLUMS'!$A$3:$J$1005,8,FALSE),"")</f>
        <v>869.66604823747684</v>
      </c>
      <c r="Q58" s="28">
        <f t="shared" si="10"/>
        <v>2.1293827160493828E-2</v>
      </c>
      <c r="R58" s="16"/>
      <c r="S58" s="16"/>
      <c r="T58" s="16"/>
      <c r="U58" s="16"/>
      <c r="V58" s="79"/>
      <c r="W58" s="16"/>
      <c r="Y58"/>
    </row>
    <row r="59" spans="1:25">
      <c r="A59" s="46" t="s">
        <v>108</v>
      </c>
      <c r="B59" s="46" t="s">
        <v>109</v>
      </c>
      <c r="C59" s="47">
        <v>100000</v>
      </c>
      <c r="D59" s="14">
        <v>92</v>
      </c>
      <c r="E59" s="13">
        <v>90</v>
      </c>
      <c r="F59" s="13">
        <v>86</v>
      </c>
      <c r="G59" s="19">
        <v>0.26096000000000003</v>
      </c>
      <c r="H59" s="45">
        <f t="shared" si="8"/>
        <v>712080</v>
      </c>
      <c r="I59" s="27" t="s">
        <v>131</v>
      </c>
      <c r="J59" s="31">
        <v>0.75</v>
      </c>
      <c r="K59" s="38">
        <f>IFERROR((VLOOKUP(I59,'DADES VOLUMS'!$A$3:$J$1005,5,FALSE))/('CÀLCUL QUANTITATS VOLUM'!H59)*('CÀLCUL QUANTITATS VOLUM'!J59),"")</f>
        <v>189.58543983822042</v>
      </c>
      <c r="L59" s="39">
        <f>IFERROR(G59*K59*VLOOKUP(I59,'DADES VOLUMS'!$A$3:$J$1005,6,FALSE),"")</f>
        <v>49.474216380182007</v>
      </c>
      <c r="M59" s="39">
        <f>IFERROR(IF(L59&gt;VLOOKUP(I59,'DADES VOLUMS'!$A$3:$J$1005,9,FALSE),VLOOKUP(I59,'DADES VOLUMS'!$A$3:$J$1005,9,FALSE),L59),"")</f>
        <v>49.474216380182007</v>
      </c>
      <c r="N59" s="40">
        <f t="shared" si="9"/>
        <v>189.58543983822042</v>
      </c>
      <c r="O59" s="39">
        <f>IFERROR(N59*VLOOKUP(I59,'DADES VOLUMS'!$A$3:$J$1005,6,FALSE),"")</f>
        <v>189.58543983822042</v>
      </c>
      <c r="P59" s="42">
        <f>IFERROR(O59*VLOOKUP(I59,'DADES VOLUMS'!$A$3:$J$1005,8,FALSE),"")</f>
        <v>947.92719919110209</v>
      </c>
      <c r="Q59" s="28">
        <f t="shared" si="10"/>
        <v>1.9535802469135805E-2</v>
      </c>
      <c r="R59" s="16"/>
      <c r="S59" s="16"/>
      <c r="T59" s="16"/>
      <c r="U59" s="16"/>
      <c r="V59" s="79"/>
      <c r="W59" s="16"/>
      <c r="Y59"/>
    </row>
    <row r="60" spans="1:25">
      <c r="A60" s="46" t="s">
        <v>110</v>
      </c>
      <c r="B60" s="46" t="s">
        <v>111</v>
      </c>
      <c r="C60" s="47">
        <v>136588</v>
      </c>
      <c r="D60" s="14">
        <v>86</v>
      </c>
      <c r="E60" s="13">
        <v>82</v>
      </c>
      <c r="F60" s="13">
        <v>23</v>
      </c>
      <c r="G60" s="19">
        <v>9.1020000000000004E-2</v>
      </c>
      <c r="H60" s="45">
        <f t="shared" si="8"/>
        <v>162196</v>
      </c>
      <c r="I60" s="27" t="s">
        <v>131</v>
      </c>
      <c r="J60" s="31">
        <v>0.7</v>
      </c>
      <c r="K60" s="38">
        <f>IFERROR((VLOOKUP(I60,'DADES VOLUMS'!$A$3:$J$1005,5,FALSE))/('CÀLCUL QUANTITATS VOLUM'!H60)*('CÀLCUL QUANTITATS VOLUM'!J60),"")</f>
        <v>776.83789982490316</v>
      </c>
      <c r="L60" s="39">
        <f>IFERROR(G60*K60*VLOOKUP(I60,'DADES VOLUMS'!$A$3:$J$1005,6,FALSE),"")</f>
        <v>70.707785642062689</v>
      </c>
      <c r="M60" s="39">
        <f>IFERROR(IF(L60&gt;VLOOKUP(I60,'DADES VOLUMS'!$A$3:$J$1005,9,FALSE),VLOOKUP(I60,'DADES VOLUMS'!$A$3:$J$1005,9,FALSE),L60),"")</f>
        <v>70.707785642062689</v>
      </c>
      <c r="N60" s="40">
        <f t="shared" si="9"/>
        <v>776.83789982490316</v>
      </c>
      <c r="O60" s="39">
        <f>IFERROR(N60*VLOOKUP(I60,'DADES VOLUMS'!$A$3:$J$1005,6,FALSE),"")</f>
        <v>776.83789982490316</v>
      </c>
      <c r="P60" s="42">
        <f>IFERROR(O60*VLOOKUP(I60,'DADES VOLUMS'!$A$3:$J$1005,8,FALSE),"")</f>
        <v>3884.1894991245158</v>
      </c>
      <c r="Q60" s="28">
        <f t="shared" si="10"/>
        <v>6.5120597436801883E-3</v>
      </c>
      <c r="R60" s="16"/>
      <c r="S60" s="16"/>
      <c r="T60" s="16"/>
      <c r="U60" s="16"/>
      <c r="V60" s="79"/>
      <c r="W60" s="16"/>
      <c r="Y60"/>
    </row>
    <row r="61" spans="1:25">
      <c r="A61" s="46" t="s">
        <v>112</v>
      </c>
      <c r="B61" s="46" t="s">
        <v>113</v>
      </c>
      <c r="C61" s="47">
        <v>931400</v>
      </c>
      <c r="D61" s="14">
        <v>81</v>
      </c>
      <c r="E61" s="13">
        <v>81</v>
      </c>
      <c r="F61" s="13">
        <v>38</v>
      </c>
      <c r="G61" s="19">
        <v>7.7719999999999997E-2</v>
      </c>
      <c r="H61" s="45">
        <f t="shared" si="8"/>
        <v>249318</v>
      </c>
      <c r="I61" s="27" t="s">
        <v>131</v>
      </c>
      <c r="J61" s="31">
        <v>0.7</v>
      </c>
      <c r="K61" s="38">
        <f>IFERROR((VLOOKUP(I61,'DADES VOLUMS'!$A$3:$J$1005,5,FALSE))/('CÀLCUL QUANTITATS VOLUM'!H61)*('CÀLCUL QUANTITATS VOLUM'!J61),"")</f>
        <v>505.37867301999847</v>
      </c>
      <c r="L61" s="39">
        <f>IFERROR(G61*K61*VLOOKUP(I61,'DADES VOLUMS'!$A$3:$J$1005,6,FALSE),"")</f>
        <v>39.278030467114277</v>
      </c>
      <c r="M61" s="39">
        <f>IFERROR(IF(L61&gt;VLOOKUP(I61,'DADES VOLUMS'!$A$3:$J$1005,9,FALSE),VLOOKUP(I61,'DADES VOLUMS'!$A$3:$J$1005,9,FALSE),L61),"")</f>
        <v>39.278030467114277</v>
      </c>
      <c r="N61" s="40">
        <f t="shared" si="9"/>
        <v>505.37867301999853</v>
      </c>
      <c r="O61" s="39">
        <f>IFERROR(N61*VLOOKUP(I61,'DADES VOLUMS'!$A$3:$J$1005,6,FALSE),"")</f>
        <v>505.37867301999853</v>
      </c>
      <c r="P61" s="42">
        <f>IFERROR(O61*VLOOKUP(I61,'DADES VOLUMS'!$A$3:$J$1005,8,FALSE),"")</f>
        <v>2526.8933650999925</v>
      </c>
      <c r="Q61" s="28">
        <f t="shared" si="10"/>
        <v>6.8258314285714286E-2</v>
      </c>
      <c r="R61" s="16"/>
      <c r="S61" s="16"/>
      <c r="T61" s="16"/>
      <c r="U61" s="16"/>
      <c r="V61" s="79"/>
      <c r="W61" s="16"/>
      <c r="Y61"/>
    </row>
    <row r="62" spans="1:25">
      <c r="A62" s="48" t="s">
        <v>114</v>
      </c>
      <c r="B62" s="46" t="s">
        <v>115</v>
      </c>
      <c r="C62" s="47">
        <v>1000000</v>
      </c>
      <c r="D62" s="14">
        <f>242.5/2</f>
        <v>121.25</v>
      </c>
      <c r="E62" s="13">
        <v>88.2</v>
      </c>
      <c r="F62" s="13">
        <v>20</v>
      </c>
      <c r="G62" s="19">
        <v>0.10249999999999999</v>
      </c>
      <c r="H62" s="45">
        <f t="shared" si="8"/>
        <v>213885</v>
      </c>
      <c r="I62" s="27" t="s">
        <v>134</v>
      </c>
      <c r="J62" s="49">
        <v>0.7</v>
      </c>
      <c r="K62" s="38">
        <f>IFERROR((VLOOKUP(I62,'DADES VOLUMS'!$A$3:$J$1005,5,FALSE))/('CÀLCUL QUANTITATS VOLUM'!H62)*('CÀLCUL QUANTITATS VOLUM'!J62),"")</f>
        <v>314.18753068237601</v>
      </c>
      <c r="L62" s="39">
        <f>IFERROR(G62*K62*VLOOKUP(I62,'DADES VOLUMS'!$A$3:$J$1005,6,FALSE),"")</f>
        <v>96.612665684830603</v>
      </c>
      <c r="M62" s="39">
        <f>IFERROR(IF(L62&gt;VLOOKUP(I62,'DADES VOLUMS'!$A$3:$J$1005,9,FALSE),VLOOKUP(I62,'DADES VOLUMS'!$A$3:$J$1005,9,FALSE),L62),"")</f>
        <v>96.612665684830603</v>
      </c>
      <c r="N62" s="40">
        <f t="shared" si="9"/>
        <v>314.18753068237601</v>
      </c>
      <c r="O62" s="39">
        <f>IFERROR(N62*VLOOKUP(I62,'DADES VOLUMS'!$A$3:$J$1005,6,FALSE),"")</f>
        <v>942.56259204712796</v>
      </c>
      <c r="P62" s="42">
        <f>IFERROR(O62*VLOOKUP(I62,'DADES VOLUMS'!$A$3:$J$1005,8,FALSE),"")</f>
        <v>2356.4064801178201</v>
      </c>
      <c r="Q62" s="28">
        <f t="shared" si="10"/>
        <v>7.8587962962962971E-2</v>
      </c>
      <c r="R62" s="16"/>
      <c r="S62" s="16">
        <v>600</v>
      </c>
      <c r="T62" s="16">
        <v>600</v>
      </c>
      <c r="U62" s="16" t="s">
        <v>161</v>
      </c>
      <c r="V62" s="79" t="s">
        <v>163</v>
      </c>
      <c r="W62" s="16" t="s">
        <v>162</v>
      </c>
    </row>
    <row r="63" spans="1:25">
      <c r="A63" s="48" t="s">
        <v>114</v>
      </c>
      <c r="B63" s="46" t="s">
        <v>116</v>
      </c>
      <c r="C63" s="47">
        <v>1000000</v>
      </c>
      <c r="D63" s="14">
        <f>242.5/2</f>
        <v>121.25</v>
      </c>
      <c r="E63" s="13">
        <v>77.2</v>
      </c>
      <c r="F63" s="13">
        <v>26</v>
      </c>
      <c r="G63" s="19">
        <v>0.1229</v>
      </c>
      <c r="H63" s="45">
        <f t="shared" si="8"/>
        <v>243373</v>
      </c>
      <c r="I63" s="27" t="s">
        <v>134</v>
      </c>
      <c r="J63" s="49">
        <v>0.7</v>
      </c>
      <c r="K63" s="38">
        <f>IFERROR((VLOOKUP(I63,'DADES VOLUMS'!$A$3:$J$1005,5,FALSE))/('CÀLCUL QUANTITATS VOLUM'!H63)*('CÀLCUL QUANTITATS VOLUM'!J63),"")</f>
        <v>276.11937232149825</v>
      </c>
      <c r="L63" s="39">
        <f>IFERROR(G63*K63*VLOOKUP(I63,'DADES VOLUMS'!$A$3:$J$1005,6,FALSE),"")</f>
        <v>101.80521257493639</v>
      </c>
      <c r="M63" s="39">
        <f>IFERROR(IF(L63&gt;VLOOKUP(I63,'DADES VOLUMS'!$A$3:$J$1005,9,FALSE),VLOOKUP(I63,'DADES VOLUMS'!$A$3:$J$1005,9,FALSE),L63),"")</f>
        <v>101.80521257493639</v>
      </c>
      <c r="N63" s="40">
        <f t="shared" si="9"/>
        <v>276.11937232149825</v>
      </c>
      <c r="O63" s="39">
        <f>IFERROR(N63*VLOOKUP(I63,'DADES VOLUMS'!$A$3:$J$1005,6,FALSE),"")</f>
        <v>828.35811696449468</v>
      </c>
      <c r="P63" s="42">
        <f>IFERROR(O63*VLOOKUP(I63,'DADES VOLUMS'!$A$3:$J$1005,8,FALSE),"")</f>
        <v>2070.8952924112368</v>
      </c>
      <c r="Q63" s="28">
        <f t="shared" si="10"/>
        <v>8.9422766019988248E-2</v>
      </c>
      <c r="R63" s="16"/>
      <c r="S63" s="16">
        <v>600</v>
      </c>
      <c r="T63" s="16">
        <v>600</v>
      </c>
      <c r="U63" s="16" t="s">
        <v>161</v>
      </c>
      <c r="V63" s="79" t="s">
        <v>163</v>
      </c>
      <c r="W63" s="16" t="s">
        <v>162</v>
      </c>
    </row>
    <row r="64" spans="1:25">
      <c r="A64" s="120" t="s">
        <v>15</v>
      </c>
      <c r="B64" s="46" t="s">
        <v>117</v>
      </c>
      <c r="C64" s="47">
        <v>5343205</v>
      </c>
      <c r="D64" s="14">
        <v>23.6</v>
      </c>
      <c r="E64" s="13">
        <v>15.7</v>
      </c>
      <c r="F64" s="13">
        <v>8</v>
      </c>
      <c r="G64" s="19">
        <v>1E-3</v>
      </c>
      <c r="H64" s="45">
        <f t="shared" si="8"/>
        <v>2964.16</v>
      </c>
      <c r="I64" s="27" t="s">
        <v>134</v>
      </c>
      <c r="J64" s="49">
        <v>0.9</v>
      </c>
      <c r="K64" s="38">
        <f>IFERROR((VLOOKUP(I64,'DADES VOLUMS'!$A$3:$J$1005,5,FALSE))/('CÀLCUL QUANTITATS VOLUM'!H64)*('CÀLCUL QUANTITATS VOLUM'!J64),"")</f>
        <v>29148.22411745655</v>
      </c>
      <c r="L64" s="39">
        <f>IFERROR(G64*K64*VLOOKUP(I64,'DADES VOLUMS'!$A$3:$J$1005,6,FALSE),"")</f>
        <v>87.444672352369651</v>
      </c>
      <c r="M64" s="39">
        <f>IFERROR(IF(L64&gt;VLOOKUP(I64,'DADES VOLUMS'!$A$3:$J$1005,9,FALSE),VLOOKUP(I64,'DADES VOLUMS'!$A$3:$J$1005,9,FALSE),L64),"")</f>
        <v>87.444672352369651</v>
      </c>
      <c r="N64" s="40">
        <f t="shared" ref="N64:N70" si="11">IFERROR(K64*M64/L64,"")</f>
        <v>29148.22411745655</v>
      </c>
      <c r="O64" s="39">
        <f>IFERROR(N64*VLOOKUP(I64,'DADES VOLUMS'!$A$3:$J$1005,6,FALSE),"")</f>
        <v>87444.672352369642</v>
      </c>
      <c r="P64" s="42">
        <f>IFERROR(O64*VLOOKUP(I64,'DADES VOLUMS'!$A$3:$J$1005,8,FALSE),"")</f>
        <v>218611.6808809241</v>
      </c>
      <c r="Q64" s="28">
        <f t="shared" ref="Q64:Q70" si="12">IFERROR(C64/P64/5400,"")</f>
        <v>4.526210143118427E-3</v>
      </c>
      <c r="R64" s="16"/>
      <c r="S64" s="16">
        <v>600</v>
      </c>
      <c r="T64" s="16">
        <v>600</v>
      </c>
      <c r="U64" s="16" t="s">
        <v>161</v>
      </c>
      <c r="V64" s="79">
        <v>0.15</v>
      </c>
      <c r="W64" s="16" t="s">
        <v>162</v>
      </c>
    </row>
    <row r="65" spans="1:27">
      <c r="A65" s="121"/>
      <c r="B65" s="46" t="s">
        <v>118</v>
      </c>
      <c r="C65" s="47">
        <v>1934561</v>
      </c>
      <c r="D65" s="14">
        <v>29.4</v>
      </c>
      <c r="E65" s="13">
        <v>28.7</v>
      </c>
      <c r="F65" s="13">
        <v>6.6</v>
      </c>
      <c r="G65" s="19">
        <v>5.0000000000000001E-3</v>
      </c>
      <c r="H65" s="45">
        <f t="shared" si="8"/>
        <v>5568.9479999999994</v>
      </c>
      <c r="I65" s="27" t="s">
        <v>134</v>
      </c>
      <c r="J65" s="49">
        <v>0.9</v>
      </c>
      <c r="K65" s="38">
        <f>IFERROR((VLOOKUP(I65,'DADES VOLUMS'!$A$3:$J$1005,5,FALSE))/('CÀLCUL QUANTITATS VOLUM'!H65)*('CÀLCUL QUANTITATS VOLUM'!J65),"")</f>
        <v>15514.599884933385</v>
      </c>
      <c r="L65" s="39">
        <f>IFERROR(G65*K65*VLOOKUP(I65,'DADES VOLUMS'!$A$3:$J$1005,6,FALSE),"")</f>
        <v>232.71899827400074</v>
      </c>
      <c r="M65" s="39">
        <f>IFERROR(IF(L65&gt;VLOOKUP(I65,'DADES VOLUMS'!$A$3:$J$1005,9,FALSE),VLOOKUP(I65,'DADES VOLUMS'!$A$3:$J$1005,9,FALSE),L65),"")</f>
        <v>232.71899827400074</v>
      </c>
      <c r="N65" s="40">
        <f t="shared" si="11"/>
        <v>15514.599884933385</v>
      </c>
      <c r="O65" s="39">
        <f>IFERROR(N65*VLOOKUP(I65,'DADES VOLUMS'!$A$3:$J$1005,6,FALSE),"")</f>
        <v>46543.799654800154</v>
      </c>
      <c r="P65" s="42">
        <f>IFERROR(O65*VLOOKUP(I65,'DADES VOLUMS'!$A$3:$J$1005,8,FALSE),"")</f>
        <v>116359.49913700038</v>
      </c>
      <c r="Q65" s="28">
        <f t="shared" si="12"/>
        <v>3.0788379091872425E-3</v>
      </c>
      <c r="R65" s="16"/>
      <c r="S65" s="16">
        <v>600</v>
      </c>
      <c r="T65" s="16">
        <v>600</v>
      </c>
      <c r="U65" s="16" t="s">
        <v>161</v>
      </c>
      <c r="V65" s="79">
        <v>0.15</v>
      </c>
      <c r="W65" s="16" t="s">
        <v>162</v>
      </c>
    </row>
    <row r="66" spans="1:27">
      <c r="A66" s="121"/>
      <c r="B66" s="46" t="s">
        <v>119</v>
      </c>
      <c r="C66" s="47">
        <v>6306922</v>
      </c>
      <c r="D66" s="14">
        <v>11.7</v>
      </c>
      <c r="E66" s="13">
        <v>6</v>
      </c>
      <c r="F66" s="13">
        <v>4</v>
      </c>
      <c r="G66" s="19">
        <v>7.0000000000000001E-3</v>
      </c>
      <c r="H66" s="45">
        <f t="shared" si="8"/>
        <v>280.79999999999995</v>
      </c>
      <c r="I66" s="27" t="s">
        <v>134</v>
      </c>
      <c r="J66" s="49">
        <v>0.9</v>
      </c>
      <c r="K66" s="38">
        <f>IFERROR((VLOOKUP(I66,'DADES VOLUMS'!$A$3:$J$1005,5,FALSE))/('CÀLCUL QUANTITATS VOLUM'!H66)*('CÀLCUL QUANTITATS VOLUM'!J66),"")</f>
        <v>307692.30769230775</v>
      </c>
      <c r="L66" s="39">
        <f>IFERROR(G66*K66*VLOOKUP(I66,'DADES VOLUMS'!$A$3:$J$1005,6,FALSE),"")</f>
        <v>6461.5384615384628</v>
      </c>
      <c r="M66" s="39">
        <f>IFERROR(IF(L66&gt;VLOOKUP(I66,'DADES VOLUMS'!$A$3:$J$1005,9,FALSE),VLOOKUP(I66,'DADES VOLUMS'!$A$3:$J$1005,9,FALSE),L66),"")</f>
        <v>6461.5384615384628</v>
      </c>
      <c r="N66" s="40">
        <f t="shared" si="11"/>
        <v>307692.30769230775</v>
      </c>
      <c r="O66" s="39">
        <f>IFERROR(N66*VLOOKUP(I66,'DADES VOLUMS'!$A$3:$J$1005,6,FALSE),"")</f>
        <v>923076.92307692324</v>
      </c>
      <c r="P66" s="42">
        <f>IFERROR(O66*VLOOKUP(I66,'DADES VOLUMS'!$A$3:$J$1005,8,FALSE),"")</f>
        <v>2307692.307692308</v>
      </c>
      <c r="Q66" s="28">
        <f t="shared" si="12"/>
        <v>5.0611102469135796E-4</v>
      </c>
      <c r="R66" s="16"/>
      <c r="S66" s="16">
        <v>600</v>
      </c>
      <c r="T66" s="16">
        <v>600</v>
      </c>
      <c r="U66" s="16" t="s">
        <v>161</v>
      </c>
      <c r="V66" s="79">
        <v>0.15</v>
      </c>
      <c r="W66" s="16" t="s">
        <v>162</v>
      </c>
    </row>
    <row r="67" spans="1:27">
      <c r="A67" s="121"/>
      <c r="B67" s="46" t="s">
        <v>120</v>
      </c>
      <c r="C67" s="47">
        <v>5343205</v>
      </c>
      <c r="D67" s="14">
        <v>21.5</v>
      </c>
      <c r="E67" s="13">
        <v>14.7</v>
      </c>
      <c r="F67" s="13">
        <v>6.4</v>
      </c>
      <c r="G67" s="19">
        <v>1E-3</v>
      </c>
      <c r="H67" s="45">
        <f t="shared" si="8"/>
        <v>2022.72</v>
      </c>
      <c r="I67" s="27" t="s">
        <v>134</v>
      </c>
      <c r="J67" s="49">
        <v>0.9</v>
      </c>
      <c r="K67" s="38">
        <f>IFERROR((VLOOKUP(I67,'DADES VOLUMS'!$A$3:$J$1005,5,FALSE))/('CÀLCUL QUANTITATS VOLUM'!H67)*('CÀLCUL QUANTITATS VOLUM'!J67),"")</f>
        <v>42714.760322733746</v>
      </c>
      <c r="L67" s="39">
        <f>IFERROR(G67*K67*VLOOKUP(I67,'DADES VOLUMS'!$A$3:$J$1005,6,FALSE),"")</f>
        <v>128.14428096820123</v>
      </c>
      <c r="M67" s="39">
        <f>IFERROR(IF(L67&gt;VLOOKUP(I67,'DADES VOLUMS'!$A$3:$J$1005,9,FALSE),VLOOKUP(I67,'DADES VOLUMS'!$A$3:$J$1005,9,FALSE),L67),"")</f>
        <v>128.14428096820123</v>
      </c>
      <c r="N67" s="40">
        <f t="shared" si="11"/>
        <v>42714.760322733746</v>
      </c>
      <c r="O67" s="39">
        <f>IFERROR(N67*VLOOKUP(I67,'DADES VOLUMS'!$A$3:$J$1005,6,FALSE),"")</f>
        <v>128144.28096820123</v>
      </c>
      <c r="P67" s="42">
        <f>IFERROR(O67*VLOOKUP(I67,'DADES VOLUMS'!$A$3:$J$1005,8,FALSE),"")</f>
        <v>320360.70242050308</v>
      </c>
      <c r="Q67" s="28">
        <f t="shared" si="12"/>
        <v>3.0886510109739366E-3</v>
      </c>
      <c r="R67" s="16"/>
      <c r="S67" s="16">
        <v>600</v>
      </c>
      <c r="T67" s="16">
        <v>600</v>
      </c>
      <c r="U67" s="16" t="s">
        <v>161</v>
      </c>
      <c r="V67" s="79">
        <v>0.15</v>
      </c>
      <c r="W67" s="16" t="s">
        <v>162</v>
      </c>
    </row>
    <row r="68" spans="1:27">
      <c r="A68" s="121"/>
      <c r="B68" s="46" t="s">
        <v>121</v>
      </c>
      <c r="C68" s="47">
        <v>362728</v>
      </c>
      <c r="D68" s="14">
        <v>42.4</v>
      </c>
      <c r="E68" s="13">
        <v>39.450000000000003</v>
      </c>
      <c r="F68" s="13">
        <v>6.39</v>
      </c>
      <c r="G68" s="19">
        <v>4.0000000000000001E-3</v>
      </c>
      <c r="H68" s="45">
        <f t="shared" si="8"/>
        <v>10688.4252</v>
      </c>
      <c r="I68" s="27" t="s">
        <v>134</v>
      </c>
      <c r="J68" s="49">
        <v>0.9</v>
      </c>
      <c r="K68" s="38">
        <f>IFERROR((VLOOKUP(I68,'DADES VOLUMS'!$A$3:$J$1005,5,FALSE))/('CÀLCUL QUANTITATS VOLUM'!H68)*('CÀLCUL QUANTITATS VOLUM'!J68),"")</f>
        <v>8083.5107495536386</v>
      </c>
      <c r="L68" s="39">
        <f>IFERROR(G68*K68*VLOOKUP(I68,'DADES VOLUMS'!$A$3:$J$1005,6,FALSE),"")</f>
        <v>97.00212899464367</v>
      </c>
      <c r="M68" s="39">
        <f>IFERROR(IF(L68&gt;VLOOKUP(I68,'DADES VOLUMS'!$A$3:$J$1005,9,FALSE),VLOOKUP(I68,'DADES VOLUMS'!$A$3:$J$1005,9,FALSE),L68),"")</f>
        <v>97.00212899464367</v>
      </c>
      <c r="N68" s="40">
        <f t="shared" si="11"/>
        <v>8083.5107495536386</v>
      </c>
      <c r="O68" s="39">
        <f>IFERROR(N68*VLOOKUP(I68,'DADES VOLUMS'!$A$3:$J$1005,6,FALSE),"")</f>
        <v>24250.532248660915</v>
      </c>
      <c r="P68" s="42">
        <f>IFERROR(O68*VLOOKUP(I68,'DADES VOLUMS'!$A$3:$J$1005,8,FALSE),"")</f>
        <v>60626.330621652291</v>
      </c>
      <c r="Q68" s="28">
        <f t="shared" si="12"/>
        <v>1.1079649908395061E-3</v>
      </c>
      <c r="R68" s="16"/>
      <c r="S68" s="16">
        <v>600</v>
      </c>
      <c r="T68" s="16">
        <v>600</v>
      </c>
      <c r="U68" s="16" t="s">
        <v>161</v>
      </c>
      <c r="V68" s="79">
        <v>0.2</v>
      </c>
      <c r="W68" s="16" t="s">
        <v>162</v>
      </c>
    </row>
    <row r="69" spans="1:27">
      <c r="A69" s="121"/>
      <c r="B69" s="46" t="s">
        <v>122</v>
      </c>
      <c r="C69" s="47">
        <v>329203</v>
      </c>
      <c r="D69" s="14">
        <v>27.8</v>
      </c>
      <c r="E69" s="13">
        <v>16.059999999999999</v>
      </c>
      <c r="F69" s="13">
        <v>9.1999999999999993</v>
      </c>
      <c r="G69" s="19">
        <v>3.0000000000000001E-3</v>
      </c>
      <c r="H69" s="45">
        <f t="shared" si="8"/>
        <v>4107.5055999999995</v>
      </c>
      <c r="I69" s="27" t="s">
        <v>134</v>
      </c>
      <c r="J69" s="49">
        <v>0.9</v>
      </c>
      <c r="K69" s="38">
        <f>IFERROR((VLOOKUP(I69,'DADES VOLUMS'!$A$3:$J$1005,5,FALSE))/('CÀLCUL QUANTITATS VOLUM'!H69)*('CÀLCUL QUANTITATS VOLUM'!J69),"")</f>
        <v>21034.6639576097</v>
      </c>
      <c r="L69" s="39">
        <f>IFERROR(G69*K69*VLOOKUP(I69,'DADES VOLUMS'!$A$3:$J$1005,6,FALSE),"")</f>
        <v>189.31197561848731</v>
      </c>
      <c r="M69" s="39">
        <f>IFERROR(IF(L69&gt;VLOOKUP(I69,'DADES VOLUMS'!$A$3:$J$1005,9,FALSE),VLOOKUP(I69,'DADES VOLUMS'!$A$3:$J$1005,9,FALSE),L69),"")</f>
        <v>189.31197561848731</v>
      </c>
      <c r="N69" s="40">
        <f t="shared" si="11"/>
        <v>21034.6639576097</v>
      </c>
      <c r="O69" s="39">
        <f>IFERROR(N69*VLOOKUP(I69,'DADES VOLUMS'!$A$3:$J$1005,6,FALSE),"")</f>
        <v>63103.991872829101</v>
      </c>
      <c r="P69" s="42">
        <f>IFERROR(O69*VLOOKUP(I69,'DADES VOLUMS'!$A$3:$J$1005,8,FALSE),"")</f>
        <v>157759.97968207276</v>
      </c>
      <c r="Q69" s="28">
        <f t="shared" si="12"/>
        <v>3.8643208905944214E-4</v>
      </c>
      <c r="R69" s="16"/>
      <c r="S69" s="16">
        <v>600</v>
      </c>
      <c r="T69" s="16">
        <v>600</v>
      </c>
      <c r="U69" s="16" t="s">
        <v>161</v>
      </c>
      <c r="V69" s="79">
        <v>0.15</v>
      </c>
      <c r="W69" s="16" t="s">
        <v>162</v>
      </c>
    </row>
    <row r="70" spans="1:27">
      <c r="A70" s="122"/>
      <c r="B70" s="46" t="s">
        <v>130</v>
      </c>
      <c r="C70" s="47">
        <v>2359240</v>
      </c>
      <c r="D70" s="14">
        <v>12</v>
      </c>
      <c r="E70" s="13">
        <v>11.7</v>
      </c>
      <c r="F70" s="13">
        <v>4</v>
      </c>
      <c r="G70" s="19">
        <v>1.1999999999999999E-3</v>
      </c>
      <c r="H70" s="45">
        <f t="shared" si="8"/>
        <v>561.59999999999991</v>
      </c>
      <c r="I70" s="27" t="s">
        <v>134</v>
      </c>
      <c r="J70" s="49">
        <v>0.9</v>
      </c>
      <c r="K70" s="38">
        <f>IFERROR((VLOOKUP(I70,'DADES VOLUMS'!$A$3:$J$1005,5,FALSE))/('CÀLCUL QUANTITATS VOLUM'!H70)*('CÀLCUL QUANTITATS VOLUM'!J70),"")</f>
        <v>153846.15384615387</v>
      </c>
      <c r="L70" s="39">
        <f>IFERROR(G70*K70*VLOOKUP(I70,'DADES VOLUMS'!$A$3:$J$1005,6,FALSE),"")</f>
        <v>553.84615384615392</v>
      </c>
      <c r="M70" s="39">
        <f>IFERROR(IF(L70&gt;VLOOKUP(I70,'DADES VOLUMS'!$A$3:$J$1005,9,FALSE),VLOOKUP(I70,'DADES VOLUMS'!$A$3:$J$1005,9,FALSE),L70),"")</f>
        <v>553.84615384615392</v>
      </c>
      <c r="N70" s="40">
        <f t="shared" si="11"/>
        <v>153846.15384615387</v>
      </c>
      <c r="O70" s="39">
        <f>IFERROR(N70*VLOOKUP(I70,'DADES VOLUMS'!$A$3:$J$1005,6,FALSE),"")</f>
        <v>461538.46153846162</v>
      </c>
      <c r="P70" s="42">
        <f>IFERROR(O70*VLOOKUP(I70,'DADES VOLUMS'!$A$3:$J$1005,8,FALSE),"")</f>
        <v>1153846.153846154</v>
      </c>
      <c r="Q70" s="28">
        <f t="shared" si="12"/>
        <v>3.7864345679012343E-4</v>
      </c>
      <c r="R70" s="16"/>
      <c r="S70" s="16">
        <v>600</v>
      </c>
      <c r="T70" s="16">
        <v>600</v>
      </c>
      <c r="U70" s="16" t="s">
        <v>161</v>
      </c>
      <c r="V70" s="79">
        <v>0.15</v>
      </c>
      <c r="W70" s="16" t="s">
        <v>162</v>
      </c>
    </row>
    <row r="71" spans="1:27">
      <c r="A71" s="46" t="s">
        <v>123</v>
      </c>
      <c r="B71" s="46" t="s">
        <v>124</v>
      </c>
      <c r="C71" s="47">
        <v>1410000</v>
      </c>
      <c r="D71" s="14">
        <v>31.9</v>
      </c>
      <c r="E71" s="13">
        <v>31.15</v>
      </c>
      <c r="F71" s="13">
        <v>12.8</v>
      </c>
      <c r="G71" s="19">
        <v>5.0000000000000001E-3</v>
      </c>
      <c r="H71" s="45">
        <f t="shared" si="8"/>
        <v>12719.168</v>
      </c>
      <c r="I71" s="27" t="s">
        <v>134</v>
      </c>
      <c r="J71" s="49">
        <v>0.9</v>
      </c>
      <c r="K71" s="38">
        <f>IFERROR((VLOOKUP(I71,'DADES VOLUMS'!$A$3:$J$1005,5,FALSE))/('CÀLCUL QUANTITATS VOLUM'!H71)*('CÀLCUL QUANTITATS VOLUM'!J71),"")</f>
        <v>6792.8971454736666</v>
      </c>
      <c r="L71" s="39">
        <f>IFERROR(G71*K71*VLOOKUP(I71,'DADES VOLUMS'!$A$3:$J$1005,6,FALSE),"")</f>
        <v>101.89345718210501</v>
      </c>
      <c r="M71" s="39">
        <f>IFERROR(IF(L71&gt;VLOOKUP(I71,'DADES VOLUMS'!$A$3:$J$1005,9,FALSE),VLOOKUP(I71,'DADES VOLUMS'!$A$3:$J$1005,9,FALSE),L71),"")</f>
        <v>101.89345718210501</v>
      </c>
      <c r="N71" s="40">
        <f t="shared" si="9"/>
        <v>6792.8971454736666</v>
      </c>
      <c r="O71" s="39">
        <f>IFERROR(N71*VLOOKUP(I71,'DADES VOLUMS'!$A$3:$J$1005,6,FALSE),"")</f>
        <v>20378.691436420999</v>
      </c>
      <c r="P71" s="42">
        <f>IFERROR(O71*VLOOKUP(I71,'DADES VOLUMS'!$A$3:$J$1005,8,FALSE),"")</f>
        <v>50946.728591052495</v>
      </c>
      <c r="Q71" s="28">
        <f t="shared" si="10"/>
        <v>5.1251791495198909E-3</v>
      </c>
      <c r="R71" s="16"/>
      <c r="S71" s="16">
        <v>600</v>
      </c>
      <c r="T71" s="16">
        <v>600</v>
      </c>
      <c r="U71" s="16" t="s">
        <v>161</v>
      </c>
      <c r="V71" s="79">
        <v>0.15</v>
      </c>
      <c r="W71" s="16" t="s">
        <v>162</v>
      </c>
    </row>
    <row r="72" spans="1:27">
      <c r="A72" s="46" t="s">
        <v>8</v>
      </c>
      <c r="B72" s="46" t="s">
        <v>126</v>
      </c>
      <c r="C72" s="47">
        <v>46242</v>
      </c>
      <c r="D72" s="14">
        <v>248.93</v>
      </c>
      <c r="E72" s="13">
        <v>175.4</v>
      </c>
      <c r="F72" s="13">
        <v>9.26</v>
      </c>
      <c r="G72" s="19">
        <v>0.372</v>
      </c>
      <c r="H72" s="45">
        <f t="shared" si="8"/>
        <v>404313.10171999998</v>
      </c>
      <c r="I72" s="27" t="s">
        <v>134</v>
      </c>
      <c r="J72" s="49">
        <v>0.4</v>
      </c>
      <c r="K72" s="38">
        <f>IFERROR((VLOOKUP(I72,'DADES VOLUMS'!$A$3:$J$1005,5,FALSE))/('CÀLCUL QUANTITATS VOLUM'!H72)*('CÀLCUL QUANTITATS VOLUM'!J72),"")</f>
        <v>94.975898225017829</v>
      </c>
      <c r="L72" s="39">
        <f>IFERROR(G72*K72*VLOOKUP(I72,'DADES VOLUMS'!$A$3:$J$1005,6,FALSE),"")</f>
        <v>105.99310241911989</v>
      </c>
      <c r="M72" s="39">
        <f>IFERROR(IF(L72&gt;VLOOKUP(I72,'DADES VOLUMS'!$A$3:$J$1005,9,FALSE),VLOOKUP(I72,'DADES VOLUMS'!$A$3:$J$1005,9,FALSE),L72),"")</f>
        <v>105.99310241911989</v>
      </c>
      <c r="N72" s="40">
        <f t="shared" si="9"/>
        <v>94.975898225017829</v>
      </c>
      <c r="O72" s="39">
        <f>IFERROR(N72*VLOOKUP(I72,'DADES VOLUMS'!$A$3:$J$1005,6,FALSE),"")</f>
        <v>284.92769467505349</v>
      </c>
      <c r="P72" s="42">
        <f>IFERROR(O72*VLOOKUP(I72,'DADES VOLUMS'!$A$3:$J$1005,8,FALSE),"")</f>
        <v>712.31923668763375</v>
      </c>
      <c r="Q72" s="28">
        <f t="shared" si="10"/>
        <v>1.2021763406466204E-2</v>
      </c>
      <c r="R72" s="16"/>
      <c r="S72" s="16">
        <v>400</v>
      </c>
      <c r="T72" s="16">
        <v>600</v>
      </c>
      <c r="U72" s="16" t="s">
        <v>161</v>
      </c>
      <c r="V72" s="79">
        <v>0.5</v>
      </c>
      <c r="W72" s="16" t="s">
        <v>162</v>
      </c>
    </row>
    <row r="73" spans="1:27">
      <c r="A73" s="48" t="s">
        <v>9</v>
      </c>
      <c r="B73" s="48" t="s">
        <v>127</v>
      </c>
      <c r="C73" s="47">
        <v>388276</v>
      </c>
      <c r="D73" s="14">
        <v>164.98</v>
      </c>
      <c r="E73" s="13">
        <v>162.28</v>
      </c>
      <c r="F73" s="13">
        <v>10.53</v>
      </c>
      <c r="G73" s="19">
        <v>0.08</v>
      </c>
      <c r="H73" s="45">
        <f t="shared" si="8"/>
        <v>281919.20983199996</v>
      </c>
      <c r="I73" s="27" t="s">
        <v>134</v>
      </c>
      <c r="J73" s="49">
        <v>0.5</v>
      </c>
      <c r="K73" s="38">
        <f>IFERROR((VLOOKUP(I73,'DADES VOLUMS'!$A$3:$J$1005,5,FALSE))/('CÀLCUL QUANTITATS VOLUM'!H73)*('CÀLCUL QUANTITATS VOLUM'!J73),"")</f>
        <v>170.26154417999379</v>
      </c>
      <c r="L73" s="39">
        <f>IFERROR(G73*K73*VLOOKUP(I73,'DADES VOLUMS'!$A$3:$J$1005,6,FALSE),"")</f>
        <v>40.862770603198513</v>
      </c>
      <c r="M73" s="39">
        <f>IFERROR(IF(L73&gt;VLOOKUP(I73,'DADES VOLUMS'!$A$3:$J$1005,9,FALSE),VLOOKUP(I73,'DADES VOLUMS'!$A$3:$J$1005,9,FALSE),L73),"")</f>
        <v>40.862770603198513</v>
      </c>
      <c r="N73" s="40">
        <f t="shared" si="9"/>
        <v>170.26154417999379</v>
      </c>
      <c r="O73" s="39">
        <f>IFERROR(N73*VLOOKUP(I73,'DADES VOLUMS'!$A$3:$J$1005,6,FALSE),"")</f>
        <v>510.78463253998137</v>
      </c>
      <c r="P73" s="42">
        <f>IFERROR(O73*VLOOKUP(I73,'DADES VOLUMS'!$A$3:$J$1005,8,FALSE),"")</f>
        <v>1276.9615813499533</v>
      </c>
      <c r="Q73" s="28">
        <f t="shared" si="10"/>
        <v>5.6307851397494661E-2</v>
      </c>
      <c r="R73" s="16"/>
      <c r="S73" s="16">
        <v>200</v>
      </c>
      <c r="T73" s="16">
        <v>450</v>
      </c>
      <c r="U73" s="16">
        <v>2000</v>
      </c>
      <c r="V73" s="79" t="s">
        <v>163</v>
      </c>
      <c r="W73" s="16" t="s">
        <v>162</v>
      </c>
    </row>
    <row r="74" spans="1:27">
      <c r="A74" s="46" t="s">
        <v>125</v>
      </c>
      <c r="B74" s="46" t="s">
        <v>128</v>
      </c>
      <c r="C74" s="47">
        <v>220000</v>
      </c>
      <c r="D74" s="14">
        <v>58.95</v>
      </c>
      <c r="E74" s="13">
        <v>39.51</v>
      </c>
      <c r="F74" s="13">
        <v>26.3</v>
      </c>
      <c r="G74" s="19">
        <v>0.01</v>
      </c>
      <c r="H74" s="45">
        <f t="shared" si="8"/>
        <v>61255.711350000005</v>
      </c>
      <c r="I74" s="27" t="s">
        <v>134</v>
      </c>
      <c r="J74" s="49">
        <v>0.9</v>
      </c>
      <c r="K74" s="38">
        <f>IFERROR((VLOOKUP(I74,'DADES VOLUMS'!$A$3:$J$1005,5,FALSE))/('CÀLCUL QUANTITATS VOLUM'!H74)*('CÀLCUL QUANTITATS VOLUM'!J74),"")</f>
        <v>1410.4807224640938</v>
      </c>
      <c r="L74" s="39">
        <f>IFERROR(G74*K74*VLOOKUP(I74,'DADES VOLUMS'!$A$3:$J$1005,6,FALSE),"")</f>
        <v>42.314421673922816</v>
      </c>
      <c r="M74" s="39">
        <f>IFERROR(IF(L74&gt;VLOOKUP(I74,'DADES VOLUMS'!$A$3:$J$1005,9,FALSE),VLOOKUP(I74,'DADES VOLUMS'!$A$3:$J$1005,9,FALSE),L74),"")</f>
        <v>42.314421673922816</v>
      </c>
      <c r="N74" s="40">
        <f t="shared" si="9"/>
        <v>1410.4807224640938</v>
      </c>
      <c r="O74" s="39">
        <f>IFERROR(N74*VLOOKUP(I74,'DADES VOLUMS'!$A$3:$J$1005,6,FALSE),"")</f>
        <v>4231.4421673922816</v>
      </c>
      <c r="P74" s="42">
        <f>IFERROR(O74*VLOOKUP(I74,'DADES VOLUMS'!$A$3:$J$1005,8,FALSE),"")</f>
        <v>10578.605418480704</v>
      </c>
      <c r="Q74" s="28">
        <f t="shared" si="10"/>
        <v>3.851239282407408E-3</v>
      </c>
      <c r="R74" s="16"/>
      <c r="S74" s="16">
        <v>200</v>
      </c>
      <c r="T74" s="16">
        <v>500</v>
      </c>
      <c r="U74" s="16" t="s">
        <v>163</v>
      </c>
      <c r="V74" s="79">
        <v>0.5</v>
      </c>
      <c r="W74" s="16" t="s">
        <v>162</v>
      </c>
    </row>
    <row r="75" spans="1:27">
      <c r="A75" s="46" t="s">
        <v>55</v>
      </c>
      <c r="B75" s="46" t="s">
        <v>129</v>
      </c>
      <c r="C75" s="47">
        <v>893594</v>
      </c>
      <c r="D75" s="14">
        <v>240</v>
      </c>
      <c r="E75" s="13">
        <v>138</v>
      </c>
      <c r="F75" s="13">
        <v>16.899999999999999</v>
      </c>
      <c r="G75" s="19">
        <v>0.22</v>
      </c>
      <c r="H75" s="45">
        <f t="shared" si="8"/>
        <v>559728</v>
      </c>
      <c r="I75" s="27" t="s">
        <v>134</v>
      </c>
      <c r="J75" s="49">
        <v>0.5</v>
      </c>
      <c r="K75" s="38">
        <f>IFERROR((VLOOKUP(I75,'DADES VOLUMS'!$A$3:$J$1005,5,FALSE))/('CÀLCUL QUANTITATS VOLUM'!H75)*('CÀLCUL QUANTITATS VOLUM'!J75),"")</f>
        <v>85.75593859874796</v>
      </c>
      <c r="L75" s="39">
        <f>IFERROR(G75*K75*VLOOKUP(I75,'DADES VOLUMS'!$A$3:$J$1005,6,FALSE),"")</f>
        <v>56.598919475173652</v>
      </c>
      <c r="M75" s="39">
        <f>IFERROR(IF(L75&gt;VLOOKUP(I75,'DADES VOLUMS'!$A$3:$J$1005,9,FALSE),VLOOKUP(I75,'DADES VOLUMS'!$A$3:$J$1005,9,FALSE),L75),"")</f>
        <v>56.598919475173652</v>
      </c>
      <c r="N75" s="40">
        <f t="shared" si="9"/>
        <v>85.75593859874796</v>
      </c>
      <c r="O75" s="39">
        <f>IFERROR(N75*VLOOKUP(I75,'DADES VOLUMS'!$A$3:$J$1005,6,FALSE),"")</f>
        <v>257.26781579624389</v>
      </c>
      <c r="P75" s="42">
        <f>IFERROR(O75*VLOOKUP(I75,'DADES VOLUMS'!$A$3:$J$1005,8,FALSE),"")</f>
        <v>643.16953949060974</v>
      </c>
      <c r="Q75" s="28">
        <f t="shared" si="10"/>
        <v>0.25728887985185184</v>
      </c>
      <c r="R75" s="16"/>
      <c r="S75" s="16">
        <v>400</v>
      </c>
      <c r="T75" s="16">
        <v>400</v>
      </c>
      <c r="U75" s="16" t="s">
        <v>163</v>
      </c>
      <c r="V75" s="79">
        <v>2</v>
      </c>
      <c r="W75" s="16" t="s">
        <v>162</v>
      </c>
    </row>
    <row r="76" spans="1:27">
      <c r="A76" s="46" t="s">
        <v>97</v>
      </c>
      <c r="B76" s="46">
        <v>233082</v>
      </c>
      <c r="C76" s="47">
        <v>1130796</v>
      </c>
      <c r="D76" s="14">
        <v>136.11000000000001</v>
      </c>
      <c r="E76" s="13">
        <v>105.16</v>
      </c>
      <c r="F76" s="13">
        <v>7.27</v>
      </c>
      <c r="G76" s="19">
        <v>9.6689999999999998E-2</v>
      </c>
      <c r="H76" s="45">
        <f t="shared" si="8"/>
        <v>104057.89165200001</v>
      </c>
      <c r="I76" s="27" t="s">
        <v>134</v>
      </c>
      <c r="J76" s="49">
        <v>0.5</v>
      </c>
      <c r="K76" s="38">
        <f>IFERROR((VLOOKUP(I76,'DADES VOLUMS'!$A$3:$J$1005,5,FALSE))/('CÀLCUL QUANTITATS VOLUM'!H76)*('CÀLCUL QUANTITATS VOLUM'!J76),"")</f>
        <v>461.28168885571915</v>
      </c>
      <c r="L76" s="39">
        <f>IFERROR(G76*K76*VLOOKUP(I76,'DADES VOLUMS'!$A$3:$J$1005,6,FALSE),"")</f>
        <v>133.80397948637844</v>
      </c>
      <c r="M76" s="39">
        <f>IFERROR(IF(L76&gt;VLOOKUP(I76,'DADES VOLUMS'!$A$3:$J$1005,9,FALSE),VLOOKUP(I76,'DADES VOLUMS'!$A$3:$J$1005,9,FALSE),L76),"")</f>
        <v>133.80397948637844</v>
      </c>
      <c r="N76" s="40">
        <f t="shared" si="9"/>
        <v>461.28168885571915</v>
      </c>
      <c r="O76" s="39">
        <f>IFERROR(N76*VLOOKUP(I76,'DADES VOLUMS'!$A$3:$J$1005,6,FALSE),"")</f>
        <v>1383.8450665671576</v>
      </c>
      <c r="P76" s="42">
        <f>IFERROR(O76*VLOOKUP(I76,'DADES VOLUMS'!$A$3:$J$1005,8,FALSE),"")</f>
        <v>3459.6126664178937</v>
      </c>
      <c r="Q76" s="28">
        <f t="shared" si="10"/>
        <v>6.0528933975573559E-2</v>
      </c>
      <c r="R76" s="16"/>
      <c r="S76" s="16">
        <v>200</v>
      </c>
      <c r="T76" s="16">
        <v>200</v>
      </c>
      <c r="U76" s="16">
        <v>100</v>
      </c>
      <c r="V76" s="79" t="s">
        <v>163</v>
      </c>
      <c r="W76" s="16" t="s">
        <v>162</v>
      </c>
    </row>
    <row r="77" spans="1:27">
      <c r="A77" s="46" t="s">
        <v>145</v>
      </c>
      <c r="B77" s="61" t="s">
        <v>136</v>
      </c>
      <c r="C77" s="62">
        <v>717000</v>
      </c>
      <c r="D77" s="63">
        <v>184</v>
      </c>
      <c r="E77" s="64">
        <v>103</v>
      </c>
      <c r="F77" s="64">
        <v>25</v>
      </c>
      <c r="G77" s="65">
        <v>0.20499999999999999</v>
      </c>
      <c r="H77" s="45">
        <f t="shared" ref="H77:H81" si="13">F77*E77*D77</f>
        <v>473800</v>
      </c>
      <c r="I77" s="27" t="s">
        <v>133</v>
      </c>
      <c r="J77" s="49">
        <v>0.92</v>
      </c>
      <c r="K77" s="38">
        <f>IFERROR((VLOOKUP(I77,'DADES VOLUMS'!$A$3:$J$1005,5,FALSE))/('CÀLCUL QUANTITATS VOLUM'!H77)*('CÀLCUL QUANTITATS VOLUM'!J77),"")</f>
        <v>186.40776699029126</v>
      </c>
      <c r="L77" s="39">
        <f>IFERROR(G77*K77*VLOOKUP(I77,'DADES VOLUMS'!$A$3:$J$1005,6,FALSE),"")</f>
        <v>114.64077669902912</v>
      </c>
      <c r="M77" s="39">
        <f>IFERROR(IF(L77&gt;VLOOKUP(I77,'DADES VOLUMS'!$A$3:$J$1005,9,FALSE),VLOOKUP(I77,'DADES VOLUMS'!$A$3:$J$1005,9,FALSE),L77),"")</f>
        <v>114.64077669902912</v>
      </c>
      <c r="N77" s="40">
        <f t="shared" ref="N77:N78" si="14">IFERROR(K77*M77/L77,"")</f>
        <v>186.40776699029126</v>
      </c>
      <c r="O77" s="39">
        <f>IFERROR(N77*VLOOKUP(I77,'DADES VOLUMS'!$A$3:$J$1005,6,FALSE),"")</f>
        <v>559.22330097087377</v>
      </c>
      <c r="P77" s="42">
        <f>IFERROR(O77*VLOOKUP(I77,'DADES VOLUMS'!$A$3:$J$1005,8,FALSE),"")</f>
        <v>2236.8932038834951</v>
      </c>
      <c r="Q77" s="28">
        <f>IFERROR(C77/P77/5400,"")</f>
        <v>5.9358121141975313E-2</v>
      </c>
      <c r="R77" s="16"/>
      <c r="S77" s="16"/>
      <c r="T77" s="16"/>
      <c r="U77" s="16"/>
      <c r="V77" s="79"/>
      <c r="W77" s="16"/>
      <c r="Y77" s="56">
        <f>C77/P77</f>
        <v>320.53385416666669</v>
      </c>
    </row>
    <row r="78" spans="1:27">
      <c r="A78" s="46" t="s">
        <v>145</v>
      </c>
      <c r="B78" s="61" t="s">
        <v>136</v>
      </c>
      <c r="C78" s="62">
        <v>717000</v>
      </c>
      <c r="D78" s="63">
        <v>184</v>
      </c>
      <c r="E78" s="64">
        <v>103</v>
      </c>
      <c r="F78" s="64">
        <v>25</v>
      </c>
      <c r="G78" s="65">
        <v>0.20499999999999999</v>
      </c>
      <c r="H78" s="45">
        <f t="shared" si="13"/>
        <v>473800</v>
      </c>
      <c r="I78" s="27" t="s">
        <v>131</v>
      </c>
      <c r="J78" s="49">
        <v>0.92</v>
      </c>
      <c r="K78" s="38">
        <f>IFERROR((VLOOKUP(I78,'DADES VOLUMS'!$A$3:$J$1005,5,FALSE))/('CÀLCUL QUANTITATS VOLUM'!H78)*('CÀLCUL QUANTITATS VOLUM'!J78),"")</f>
        <v>349.51456310679612</v>
      </c>
      <c r="L78" s="39">
        <f>IFERROR(G78*K78*VLOOKUP(I78,'DADES VOLUMS'!$A$3:$J$1005,6,FALSE),"")</f>
        <v>71.650485436893206</v>
      </c>
      <c r="M78" s="39">
        <f>IFERROR(IF(L78&gt;VLOOKUP(I78,'DADES VOLUMS'!$A$3:$J$1005,9,FALSE),VLOOKUP(I78,'DADES VOLUMS'!$A$3:$J$1005,9,FALSE),L78),"")</f>
        <v>71.650485436893206</v>
      </c>
      <c r="N78" s="40">
        <f t="shared" si="14"/>
        <v>349.51456310679612</v>
      </c>
      <c r="O78" s="39">
        <f>IFERROR(N78*VLOOKUP(I78,'DADES VOLUMS'!$A$3:$J$1005,6,FALSE),"")</f>
        <v>349.51456310679612</v>
      </c>
      <c r="P78" s="42">
        <f>IFERROR(O78*VLOOKUP(I78,'DADES VOLUMS'!$A$3:$J$1005,8,FALSE),"")</f>
        <v>1747.5728155339807</v>
      </c>
      <c r="Q78" s="28">
        <f t="shared" ref="Q78:Q124" si="15">IFERROR(C78/P78/5400,"")</f>
        <v>7.597839506172839E-2</v>
      </c>
      <c r="R78" s="16"/>
      <c r="S78" s="16"/>
      <c r="T78" s="16"/>
      <c r="U78" s="16"/>
      <c r="V78" s="79"/>
      <c r="W78" s="16"/>
      <c r="X78" s="15" t="s">
        <v>137</v>
      </c>
      <c r="Y78" s="56">
        <f>C78/P78</f>
        <v>410.2833333333333</v>
      </c>
      <c r="Z78" s="58">
        <f>Y78-Y77</f>
        <v>89.749479166666617</v>
      </c>
      <c r="AA78" s="59">
        <f>Z78*20</f>
        <v>1794.9895833333323</v>
      </c>
    </row>
    <row r="79" spans="1:27">
      <c r="A79" s="46" t="s">
        <v>145</v>
      </c>
      <c r="B79" s="61" t="s">
        <v>136</v>
      </c>
      <c r="C79" s="62">
        <v>717000</v>
      </c>
      <c r="D79" s="63">
        <v>184</v>
      </c>
      <c r="E79" s="64">
        <v>103</v>
      </c>
      <c r="F79" s="64">
        <v>25</v>
      </c>
      <c r="G79" s="65">
        <v>0.20499999999999999</v>
      </c>
      <c r="H79" s="45">
        <f t="shared" ref="H79" si="16">F79*E79*D79</f>
        <v>473800</v>
      </c>
      <c r="I79" s="27" t="s">
        <v>143</v>
      </c>
      <c r="J79" s="49"/>
      <c r="K79" s="38"/>
      <c r="L79" s="39"/>
      <c r="M79" s="39"/>
      <c r="N79" s="40"/>
      <c r="O79" s="39"/>
      <c r="P79" s="60">
        <v>833</v>
      </c>
      <c r="Q79" s="28">
        <f t="shared" si="15"/>
        <v>0.1593970921702014</v>
      </c>
      <c r="R79" s="16"/>
      <c r="S79" s="16"/>
      <c r="T79" s="16"/>
      <c r="U79" s="16"/>
      <c r="V79" s="79"/>
      <c r="W79" s="16"/>
      <c r="Y79" s="56"/>
      <c r="Z79" s="58"/>
      <c r="AA79" s="59"/>
    </row>
    <row r="80" spans="1:27">
      <c r="A80" s="46" t="s">
        <v>145</v>
      </c>
      <c r="B80" s="61" t="s">
        <v>136</v>
      </c>
      <c r="C80" s="62">
        <v>717000</v>
      </c>
      <c r="D80" s="63">
        <v>184</v>
      </c>
      <c r="E80" s="64">
        <v>103</v>
      </c>
      <c r="F80" s="64">
        <v>25</v>
      </c>
      <c r="G80" s="65">
        <v>0.20499999999999999</v>
      </c>
      <c r="H80" s="45">
        <f t="shared" ref="H80" si="17">F80*E80*D80</f>
        <v>473800</v>
      </c>
      <c r="I80" s="27" t="s">
        <v>144</v>
      </c>
      <c r="J80" s="49"/>
      <c r="K80" s="38"/>
      <c r="L80" s="39"/>
      <c r="M80" s="39"/>
      <c r="N80" s="40"/>
      <c r="O80" s="39"/>
      <c r="P80" s="60">
        <v>1300</v>
      </c>
      <c r="Q80" s="28">
        <f t="shared" si="15"/>
        <v>0.10213675213675213</v>
      </c>
      <c r="R80" s="16"/>
      <c r="S80" s="16"/>
      <c r="T80" s="16"/>
      <c r="U80" s="16"/>
      <c r="V80" s="79"/>
      <c r="W80" s="16"/>
      <c r="Y80" s="56"/>
      <c r="Z80" s="58"/>
      <c r="AA80" s="59"/>
    </row>
    <row r="81" spans="1:27">
      <c r="A81" s="46" t="s">
        <v>64</v>
      </c>
      <c r="B81" s="66" t="s">
        <v>139</v>
      </c>
      <c r="C81" s="67">
        <v>751048</v>
      </c>
      <c r="D81" s="68">
        <v>151</v>
      </c>
      <c r="E81" s="69">
        <v>54.8</v>
      </c>
      <c r="F81" s="69">
        <v>26.3</v>
      </c>
      <c r="G81" s="70">
        <v>9.9000000000000005E-2</v>
      </c>
      <c r="H81" s="45">
        <f t="shared" si="13"/>
        <v>217627.24</v>
      </c>
      <c r="I81" s="27" t="s">
        <v>133</v>
      </c>
      <c r="J81" s="49">
        <v>0.72</v>
      </c>
      <c r="K81" s="38">
        <f>IFERROR((VLOOKUP(I81,'DADES VOLUMS'!$A$3:$J$1005,5,FALSE))/('CÀLCUL QUANTITATS VOLUM'!H81)*('CÀLCUL QUANTITATS VOLUM'!J81),"")</f>
        <v>317.60729952739371</v>
      </c>
      <c r="L81" s="39">
        <f>IFERROR(G81*K81*VLOOKUP(I81,'DADES VOLUMS'!$A$3:$J$1005,6,FALSE),"")</f>
        <v>94.329367959635931</v>
      </c>
      <c r="M81" s="39">
        <f>IFERROR(IF(L81&gt;VLOOKUP(I81,'DADES VOLUMS'!$A$3:$J$1005,9,FALSE),VLOOKUP(I81,'DADES VOLUMS'!$A$3:$J$1005,9,FALSE),L81),"")</f>
        <v>94.329367959635931</v>
      </c>
      <c r="N81" s="40">
        <f t="shared" ref="N81:N82" si="18">IFERROR(K81*M81/L81,"")</f>
        <v>317.60729952739371</v>
      </c>
      <c r="O81" s="39">
        <f>IFERROR(N81*VLOOKUP(I81,'DADES VOLUMS'!$A$3:$J$1005,6,FALSE),"")</f>
        <v>952.82189858218112</v>
      </c>
      <c r="P81" s="42">
        <f>IFERROR(O81*VLOOKUP(I81,'DADES VOLUMS'!$A$3:$J$1005,8,FALSE),"")</f>
        <v>3811.2875943287245</v>
      </c>
      <c r="Q81" s="28">
        <f t="shared" si="15"/>
        <v>3.6492382041680954E-2</v>
      </c>
      <c r="R81" s="16"/>
      <c r="S81" s="16"/>
      <c r="T81" s="16"/>
      <c r="U81" s="16"/>
      <c r="V81" s="79"/>
      <c r="W81" s="16"/>
      <c r="Y81" s="56">
        <f>C81/P81</f>
        <v>197.05886302507716</v>
      </c>
    </row>
    <row r="82" spans="1:27">
      <c r="A82" s="46" t="s">
        <v>64</v>
      </c>
      <c r="B82" s="66" t="s">
        <v>139</v>
      </c>
      <c r="C82" s="67">
        <v>751048</v>
      </c>
      <c r="D82" s="68">
        <v>151</v>
      </c>
      <c r="E82" s="69">
        <v>54.8</v>
      </c>
      <c r="F82" s="69">
        <v>26</v>
      </c>
      <c r="G82" s="70">
        <v>9.9000000000000005E-2</v>
      </c>
      <c r="H82" s="45">
        <f t="shared" ref="H82:H83" si="19">F82*E82*D82</f>
        <v>215144.8</v>
      </c>
      <c r="I82" s="27" t="s">
        <v>131</v>
      </c>
      <c r="J82" s="49">
        <v>0.72</v>
      </c>
      <c r="K82" s="38">
        <f>IFERROR((VLOOKUP(I82,'DADES VOLUMS'!$A$3:$J$1005,5,FALSE))/('CÀLCUL QUANTITATS VOLUM'!H82)*('CÀLCUL QUANTITATS VOLUM'!J82),"")</f>
        <v>602.3849983824847</v>
      </c>
      <c r="L82" s="39">
        <f>IFERROR(G82*K82*VLOOKUP(I82,'DADES VOLUMS'!$A$3:$J$1005,6,FALSE),"")</f>
        <v>59.636114839865989</v>
      </c>
      <c r="M82" s="39">
        <f>IFERROR(IF(L82&gt;VLOOKUP(I82,'DADES VOLUMS'!$A$3:$J$1005,9,FALSE),VLOOKUP(I82,'DADES VOLUMS'!$A$3:$J$1005,9,FALSE),L82),"")</f>
        <v>59.636114839865989</v>
      </c>
      <c r="N82" s="40">
        <f t="shared" si="18"/>
        <v>602.3849983824847</v>
      </c>
      <c r="O82" s="39">
        <f>IFERROR(N82*VLOOKUP(I82,'DADES VOLUMS'!$A$3:$J$1005,6,FALSE),"")</f>
        <v>602.3849983824847</v>
      </c>
      <c r="P82" s="42">
        <f>IFERROR(O82*VLOOKUP(I82,'DADES VOLUMS'!$A$3:$J$1005,8,FALSE),"")</f>
        <v>3011.9249919124236</v>
      </c>
      <c r="Q82" s="28">
        <f t="shared" si="15"/>
        <v>4.6177432484682215E-2</v>
      </c>
      <c r="R82" s="16"/>
      <c r="S82" s="16"/>
      <c r="T82" s="16"/>
      <c r="U82" s="16"/>
      <c r="V82" s="79"/>
      <c r="W82" s="16"/>
      <c r="X82" s="15" t="s">
        <v>140</v>
      </c>
      <c r="Y82" s="56">
        <f>C82/P82</f>
        <v>249.35813541728396</v>
      </c>
      <c r="Z82" s="58">
        <f>Y82-Y81</f>
        <v>52.299272392206802</v>
      </c>
      <c r="AA82" s="59">
        <f>Z82*20</f>
        <v>1045.9854478441362</v>
      </c>
    </row>
    <row r="83" spans="1:27">
      <c r="A83" s="46" t="s">
        <v>64</v>
      </c>
      <c r="B83" s="66" t="s">
        <v>139</v>
      </c>
      <c r="C83" s="67">
        <v>751048</v>
      </c>
      <c r="D83" s="68">
        <v>151</v>
      </c>
      <c r="E83" s="69">
        <v>54.8</v>
      </c>
      <c r="F83" s="69">
        <v>26.3</v>
      </c>
      <c r="G83" s="70">
        <v>9.9000000000000005E-2</v>
      </c>
      <c r="H83" s="45">
        <f t="shared" si="19"/>
        <v>217627.24</v>
      </c>
      <c r="I83" s="27" t="s">
        <v>143</v>
      </c>
      <c r="K83" s="38"/>
      <c r="L83" s="39"/>
      <c r="M83" s="39"/>
      <c r="N83" s="40"/>
      <c r="O83" s="41"/>
      <c r="P83" s="71" t="s">
        <v>146</v>
      </c>
      <c r="Q83" s="28" t="str">
        <f t="shared" si="15"/>
        <v/>
      </c>
      <c r="R83" s="16"/>
      <c r="S83" s="16"/>
      <c r="T83" s="16"/>
      <c r="U83" s="16"/>
      <c r="V83" s="79"/>
      <c r="W83" s="16"/>
    </row>
    <row r="84" spans="1:27">
      <c r="A84" s="46" t="s">
        <v>64</v>
      </c>
      <c r="B84" s="66" t="s">
        <v>139</v>
      </c>
      <c r="C84" s="67">
        <v>751048</v>
      </c>
      <c r="D84" s="68">
        <v>151</v>
      </c>
      <c r="E84" s="69">
        <v>54.8</v>
      </c>
      <c r="F84" s="69">
        <v>26</v>
      </c>
      <c r="G84" s="70">
        <v>9.9000000000000005E-2</v>
      </c>
      <c r="H84" s="45">
        <f t="shared" ref="H84:H88" si="20">F84*E84*D84</f>
        <v>215144.8</v>
      </c>
      <c r="I84" s="27" t="s">
        <v>144</v>
      </c>
      <c r="K84" s="38"/>
      <c r="L84" s="39"/>
      <c r="M84" s="39"/>
      <c r="N84" s="40"/>
      <c r="O84" s="41"/>
      <c r="P84" s="71" t="s">
        <v>146</v>
      </c>
      <c r="Q84" s="28" t="str">
        <f t="shared" si="15"/>
        <v/>
      </c>
      <c r="R84" s="16"/>
      <c r="S84" s="16"/>
      <c r="T84" s="16"/>
      <c r="U84" s="16"/>
      <c r="V84" s="79"/>
      <c r="W84" s="16"/>
      <c r="X84" s="15" t="s">
        <v>147</v>
      </c>
    </row>
    <row r="85" spans="1:27">
      <c r="A85" s="46" t="s">
        <v>258</v>
      </c>
      <c r="B85" s="66">
        <v>5704853</v>
      </c>
      <c r="C85" s="67">
        <v>145000</v>
      </c>
      <c r="D85" s="68">
        <v>81</v>
      </c>
      <c r="E85" s="69">
        <v>101</v>
      </c>
      <c r="F85" s="69">
        <v>84</v>
      </c>
      <c r="G85" s="70">
        <v>0.155</v>
      </c>
      <c r="H85" s="45">
        <f t="shared" si="20"/>
        <v>687204</v>
      </c>
      <c r="I85" s="27" t="s">
        <v>38</v>
      </c>
      <c r="J85" s="31">
        <v>0.8</v>
      </c>
      <c r="K85" s="38">
        <f>IFERROR((VLOOKUP(I85,'DADES VOLUMS'!$A$3:$J$1005,5,FALSE))/(('CÀLCUL QUANTITATS VOLUM'!H85)*('CÀLCUL QUANTITATS VOLUM'!J85)),"")</f>
        <v>91.675834250091668</v>
      </c>
      <c r="L85" s="39">
        <f>IFERROR(G85*K85*VLOOKUP(I85,'DADES VOLUMS'!$A$3:$J$1005,6,FALSE),"")</f>
        <v>14.209754308764209</v>
      </c>
      <c r="M85" s="39">
        <f>IFERROR(IF(L85&gt;VLOOKUP(I85,'DADES VOLUMS'!$A$3:$J$1005,9,FALSE),VLOOKUP(I85,'DADES VOLUMS'!$A$3:$J$1005,9,FALSE),L85),"")</f>
        <v>0</v>
      </c>
      <c r="N85" s="40">
        <f t="shared" ref="N85" si="21">IFERROR(K85*M85/L85,"")</f>
        <v>0</v>
      </c>
      <c r="O85" s="39">
        <f>IFERROR(N85*VLOOKUP(I85,'DADES VOLUMS'!$A$3:$J$1005,6,FALSE),"")</f>
        <v>0</v>
      </c>
      <c r="P85" s="42">
        <f>IFERROR(O85*VLOOKUP(I85,'DADES VOLUMS'!$A$3:$J$1005,8,FALSE),"")</f>
        <v>0</v>
      </c>
      <c r="Q85" s="28" t="str">
        <f t="shared" ref="Q85" si="22">IFERROR(C85/P85/5400,"")</f>
        <v/>
      </c>
      <c r="R85" s="16"/>
      <c r="S85" s="16"/>
      <c r="T85" s="16"/>
      <c r="U85" s="16"/>
      <c r="V85" s="79"/>
      <c r="W85" s="16"/>
    </row>
    <row r="86" spans="1:27">
      <c r="B86" s="46">
        <v>643924100</v>
      </c>
      <c r="D86" s="14">
        <v>52</v>
      </c>
      <c r="E86" s="13">
        <v>19</v>
      </c>
      <c r="F86" s="13">
        <v>20</v>
      </c>
      <c r="G86" s="19">
        <v>1.6E-2</v>
      </c>
      <c r="H86" s="45">
        <f t="shared" si="20"/>
        <v>19760</v>
      </c>
      <c r="I86" s="27" t="s">
        <v>133</v>
      </c>
      <c r="J86" s="31">
        <v>1.2</v>
      </c>
      <c r="K86" s="38">
        <f>IFERROR((VLOOKUP(I86,'DADES VOLUMS'!$A$3:$J$1005,5,FALSE))/(('CÀLCUL QUANTITATS VOLUM'!H86)*('CÀLCUL QUANTITATS VOLUM'!J86)),"")</f>
        <v>4048.5829959514172</v>
      </c>
      <c r="L86" s="39">
        <f>IFERROR(G86*K86*VLOOKUP(I86,'DADES VOLUMS'!$A$3:$J$1005,6,FALSE),"")</f>
        <v>194.33198380566802</v>
      </c>
      <c r="M86" s="39">
        <f>IFERROR(IF(L86&gt;VLOOKUP(I86,'DADES VOLUMS'!$A$3:$J$1005,9,FALSE),VLOOKUP(I86,'DADES VOLUMS'!$A$3:$J$1005,9,FALSE),L86),"")</f>
        <v>194.33198380566802</v>
      </c>
      <c r="N86" s="40">
        <f t="shared" ref="N86" si="23">IFERROR(K86*M86/L86,"")</f>
        <v>4048.5829959514172</v>
      </c>
      <c r="O86" s="39">
        <f>IFERROR(N86*VLOOKUP(I86,'DADES VOLUMS'!$A$3:$J$1005,6,FALSE),"")</f>
        <v>12145.748987854251</v>
      </c>
      <c r="P86" s="42">
        <f>IFERROR(O86*VLOOKUP(I86,'DADES VOLUMS'!$A$3:$J$1005,8,FALSE),"")</f>
        <v>48582.995951417004</v>
      </c>
      <c r="Q86" s="28">
        <f t="shared" si="15"/>
        <v>0</v>
      </c>
      <c r="R86" s="16"/>
      <c r="S86" s="16"/>
      <c r="T86" s="16"/>
      <c r="U86" s="16"/>
      <c r="V86" s="79"/>
      <c r="W86" s="16"/>
    </row>
    <row r="87" spans="1:27">
      <c r="B87" s="46">
        <v>643924100</v>
      </c>
      <c r="D87" s="14">
        <v>52</v>
      </c>
      <c r="E87" s="13">
        <v>19</v>
      </c>
      <c r="F87" s="13">
        <v>20</v>
      </c>
      <c r="G87" s="19">
        <v>1.6E-2</v>
      </c>
      <c r="H87" s="45">
        <f t="shared" si="20"/>
        <v>19760</v>
      </c>
      <c r="I87" s="27" t="s">
        <v>131</v>
      </c>
      <c r="J87" s="31">
        <v>1.2</v>
      </c>
      <c r="K87" s="38">
        <f>IFERROR((VLOOKUP(I87,'DADES VOLUMS'!$A$3:$J$1005,5,FALSE))/(('CÀLCUL QUANTITATS VOLUM'!H87)*('CÀLCUL QUANTITATS VOLUM'!J87)),"")</f>
        <v>7591.0931174089064</v>
      </c>
      <c r="L87" s="39">
        <f>IFERROR(G87*K87*VLOOKUP(I87,'DADES VOLUMS'!$A$3:$J$1005,6,FALSE),"")</f>
        <v>121.4574898785425</v>
      </c>
      <c r="M87" s="39">
        <f>IFERROR(IF(L87&gt;VLOOKUP(I87,'DADES VOLUMS'!$A$3:$J$1005,9,FALSE),VLOOKUP(I87,'DADES VOLUMS'!$A$3:$J$1005,9,FALSE),L87),"")</f>
        <v>121.4574898785425</v>
      </c>
      <c r="N87" s="40">
        <f t="shared" ref="N87" si="24">IFERROR(K87*M87/L87,"")</f>
        <v>7591.0931174089064</v>
      </c>
      <c r="O87" s="39">
        <f>IFERROR(N87*VLOOKUP(I87,'DADES VOLUMS'!$A$3:$J$1005,6,FALSE),"")</f>
        <v>7591.0931174089064</v>
      </c>
      <c r="P87" s="42">
        <f>IFERROR(O87*VLOOKUP(I87,'DADES VOLUMS'!$A$3:$J$1005,8,FALSE),"")</f>
        <v>37955.465587044535</v>
      </c>
      <c r="Q87" s="28">
        <f t="shared" si="15"/>
        <v>0</v>
      </c>
      <c r="R87" s="16"/>
      <c r="S87" s="16"/>
      <c r="T87" s="16"/>
      <c r="U87" s="16"/>
      <c r="V87" s="79"/>
      <c r="W87" s="16"/>
    </row>
    <row r="88" spans="1:27">
      <c r="B88" s="46">
        <v>51005553</v>
      </c>
      <c r="D88" s="14">
        <v>61</v>
      </c>
      <c r="E88" s="13">
        <v>20</v>
      </c>
      <c r="F88" s="13">
        <v>22</v>
      </c>
      <c r="G88" s="19">
        <v>1.4999999999999999E-2</v>
      </c>
      <c r="H88" s="45">
        <f t="shared" si="20"/>
        <v>26840</v>
      </c>
      <c r="I88" s="27" t="s">
        <v>40</v>
      </c>
      <c r="J88" s="31">
        <v>1.2</v>
      </c>
      <c r="K88" s="38">
        <f>IFERROR((VLOOKUP(I88,'DADES VOLUMS'!$A$3:$J$1005,5,FALSE))/(('CÀLCUL QUANTITATS VOLUM'!H88)*('CÀLCUL QUANTITATS VOLUM'!J88)),"")</f>
        <v>511.01434426229508</v>
      </c>
      <c r="L88" s="39"/>
      <c r="M88" s="39"/>
      <c r="N88" s="40"/>
      <c r="O88" s="41"/>
      <c r="Q88" s="28" t="str">
        <f t="shared" si="15"/>
        <v/>
      </c>
      <c r="R88" s="16"/>
      <c r="S88" s="16"/>
      <c r="T88" s="16"/>
      <c r="U88" s="16"/>
      <c r="V88" s="79"/>
      <c r="W88" s="16"/>
    </row>
    <row r="89" spans="1:27">
      <c r="B89" s="46">
        <v>51005553</v>
      </c>
      <c r="D89" s="14">
        <v>61</v>
      </c>
      <c r="E89" s="13">
        <v>20</v>
      </c>
      <c r="F89" s="13">
        <v>22</v>
      </c>
      <c r="G89" s="19">
        <v>1.4999999999999999E-2</v>
      </c>
      <c r="H89" s="45">
        <f t="shared" ref="H89:H91" si="25">F89*E89*D89</f>
        <v>26840</v>
      </c>
      <c r="I89" s="27" t="s">
        <v>131</v>
      </c>
      <c r="J89" s="31">
        <v>1.2</v>
      </c>
      <c r="K89" s="38">
        <f>IFERROR((VLOOKUP(I89,'DADES VOLUMS'!$A$3:$J$1005,5,FALSE))/(('CÀLCUL QUANTITATS VOLUM'!H89)*('CÀLCUL QUANTITATS VOLUM'!J89)),"")</f>
        <v>5588.6736214605071</v>
      </c>
      <c r="L89" s="39">
        <f>IFERROR(G89*K89*VLOOKUP(I89,'DADES VOLUMS'!$A$3:$J$1005,6,FALSE),"")</f>
        <v>83.830104321907598</v>
      </c>
      <c r="M89" s="39">
        <f>IFERROR(IF(L89&gt;VLOOKUP(I89,'DADES VOLUMS'!$A$3:$J$1005,9,FALSE),VLOOKUP(I89,'DADES VOLUMS'!$A$3:$J$1005,9,FALSE),L89),"")</f>
        <v>83.830104321907598</v>
      </c>
      <c r="N89" s="40">
        <f t="shared" ref="N89" si="26">IFERROR(K89*M89/L89,"")</f>
        <v>5588.6736214605071</v>
      </c>
      <c r="O89" s="39">
        <f>IFERROR(N89*VLOOKUP(I89,'DADES VOLUMS'!$A$3:$J$1005,6,FALSE),"")</f>
        <v>5588.6736214605071</v>
      </c>
      <c r="P89" s="42">
        <f>IFERROR(O89*VLOOKUP(I89,'DADES VOLUMS'!$A$3:$J$1005,8,FALSE),"")</f>
        <v>27943.368107302536</v>
      </c>
      <c r="Q89" s="28">
        <f t="shared" si="15"/>
        <v>0</v>
      </c>
      <c r="R89" s="16"/>
      <c r="S89" s="16"/>
      <c r="T89" s="16"/>
      <c r="U89" s="16"/>
      <c r="V89" s="79"/>
      <c r="W89" s="16"/>
    </row>
    <row r="90" spans="1:27">
      <c r="B90" s="46">
        <v>51005553</v>
      </c>
      <c r="D90" s="14">
        <v>61</v>
      </c>
      <c r="E90" s="13">
        <v>20</v>
      </c>
      <c r="F90" s="13">
        <v>22</v>
      </c>
      <c r="G90" s="19">
        <v>1.4999999999999999E-2</v>
      </c>
      <c r="H90" s="45">
        <f t="shared" si="25"/>
        <v>26840</v>
      </c>
      <c r="I90" s="27" t="s">
        <v>144</v>
      </c>
      <c r="J90" s="31">
        <v>1</v>
      </c>
      <c r="K90" s="38"/>
      <c r="L90" s="39"/>
      <c r="M90" s="39"/>
      <c r="N90" s="40"/>
      <c r="O90" s="41"/>
      <c r="P90" s="21">
        <v>20000</v>
      </c>
      <c r="Q90" s="28">
        <f t="shared" si="15"/>
        <v>0</v>
      </c>
      <c r="R90" s="16"/>
      <c r="S90" s="16"/>
      <c r="T90" s="16"/>
      <c r="U90" s="16"/>
      <c r="V90" s="79"/>
      <c r="W90" s="16"/>
    </row>
    <row r="91" spans="1:27">
      <c r="B91" s="46">
        <v>51006224</v>
      </c>
      <c r="D91" s="14">
        <v>260</v>
      </c>
      <c r="E91" s="13">
        <v>30</v>
      </c>
      <c r="F91" s="13">
        <v>45</v>
      </c>
      <c r="G91" s="19">
        <v>0.12</v>
      </c>
      <c r="H91" s="45">
        <f t="shared" si="25"/>
        <v>351000</v>
      </c>
      <c r="I91" s="27" t="s">
        <v>131</v>
      </c>
      <c r="J91" s="31">
        <v>0.4</v>
      </c>
      <c r="K91" s="38">
        <f>IFERROR((VLOOKUP(I91,'DADES VOLUMS'!$A$3:$J$1005,5,FALSE))/(('CÀLCUL QUANTITATS VOLUM'!H91)*('CÀLCUL QUANTITATS VOLUM'!J91)),"")</f>
        <v>1282.051282051282</v>
      </c>
      <c r="L91" s="39">
        <f>IFERROR(G91*K91*VLOOKUP(I91,'DADES VOLUMS'!$A$3:$J$1005,6,FALSE),"")</f>
        <v>153.84615384615384</v>
      </c>
      <c r="M91" s="39">
        <f>IFERROR(IF(L91&gt;VLOOKUP(I91,'DADES VOLUMS'!$A$3:$J$1005,9,FALSE),VLOOKUP(I91,'DADES VOLUMS'!$A$3:$J$1005,9,FALSE),L91),"")</f>
        <v>153.84615384615384</v>
      </c>
      <c r="N91" s="40">
        <f t="shared" ref="N91" si="27">IFERROR(K91*M91/L91,"")</f>
        <v>1282.051282051282</v>
      </c>
      <c r="O91" s="39">
        <f>IFERROR(N91*VLOOKUP(I91,'DADES VOLUMS'!$A$3:$J$1005,6,FALSE),"")</f>
        <v>1282.051282051282</v>
      </c>
      <c r="P91" s="42">
        <f>IFERROR(O91*VLOOKUP(I91,'DADES VOLUMS'!$A$3:$J$1005,8,FALSE),"")</f>
        <v>6410.2564102564102</v>
      </c>
      <c r="Q91" s="28">
        <f t="shared" si="15"/>
        <v>0</v>
      </c>
      <c r="R91" s="16"/>
      <c r="S91" s="16"/>
      <c r="T91" s="16"/>
      <c r="U91" s="16"/>
      <c r="V91" s="79"/>
      <c r="W91" s="16"/>
    </row>
    <row r="92" spans="1:27">
      <c r="B92" s="46">
        <v>51006224</v>
      </c>
      <c r="D92" s="14">
        <v>260</v>
      </c>
      <c r="E92" s="13">
        <v>30</v>
      </c>
      <c r="F92" s="13">
        <v>45</v>
      </c>
      <c r="G92" s="19">
        <v>0.12</v>
      </c>
      <c r="H92" s="45">
        <f t="shared" ref="H92:H100" si="28">F92*E92*D92</f>
        <v>351000</v>
      </c>
      <c r="I92" s="27" t="s">
        <v>144</v>
      </c>
      <c r="K92" s="38"/>
      <c r="L92" s="39"/>
      <c r="M92" s="39"/>
      <c r="N92" s="40"/>
      <c r="O92" s="41"/>
      <c r="Q92" s="28" t="str">
        <f t="shared" si="15"/>
        <v/>
      </c>
      <c r="R92" s="16"/>
      <c r="S92" s="16"/>
      <c r="T92" s="16"/>
      <c r="U92" s="16"/>
      <c r="V92" s="79"/>
      <c r="W92" s="16"/>
    </row>
    <row r="93" spans="1:27">
      <c r="B93" s="46" t="s">
        <v>175</v>
      </c>
      <c r="D93" s="14">
        <v>34</v>
      </c>
      <c r="E93" s="13">
        <v>17</v>
      </c>
      <c r="F93" s="13">
        <v>5</v>
      </c>
      <c r="G93" s="19">
        <v>3.3999999999999998E-3</v>
      </c>
      <c r="H93" s="45">
        <f t="shared" si="28"/>
        <v>2890</v>
      </c>
      <c r="I93" s="27" t="s">
        <v>131</v>
      </c>
      <c r="J93" s="31">
        <v>1</v>
      </c>
      <c r="K93" s="38">
        <f>IFERROR((VLOOKUP(I93,'DADES VOLUMS'!$A$3:$J$1005,5,FALSE))/(('CÀLCUL QUANTITATS VOLUM'!H93)*('CÀLCUL QUANTITATS VOLUM'!J93)),"")</f>
        <v>62283.737024221453</v>
      </c>
      <c r="L93" s="39">
        <f>IFERROR(G93*K93*VLOOKUP(I93,'DADES VOLUMS'!$A$3:$J$1005,6,FALSE),"")</f>
        <v>211.76470588235293</v>
      </c>
      <c r="M93" s="39">
        <f>IFERROR(IF(L93&gt;VLOOKUP(I93,'DADES VOLUMS'!$A$3:$J$1005,9,FALSE),VLOOKUP(I93,'DADES VOLUMS'!$A$3:$J$1005,9,FALSE),L93),"")</f>
        <v>211.76470588235293</v>
      </c>
      <c r="N93" s="40">
        <f t="shared" ref="N93" si="29">IFERROR(K93*M93/L93,"")</f>
        <v>62283.737024221453</v>
      </c>
      <c r="O93" s="39">
        <f>IFERROR(N93*VLOOKUP(I93,'DADES VOLUMS'!$A$3:$J$1005,6,FALSE),"")</f>
        <v>62283.737024221453</v>
      </c>
      <c r="P93" s="42">
        <f>IFERROR(O93*VLOOKUP(I93,'DADES VOLUMS'!$A$3:$J$1005,8,FALSE),"")</f>
        <v>311418.68512110726</v>
      </c>
      <c r="Q93" s="28">
        <f t="shared" si="15"/>
        <v>0</v>
      </c>
      <c r="R93" s="16"/>
      <c r="S93" s="16"/>
      <c r="T93" s="16"/>
      <c r="U93" s="16"/>
      <c r="V93" s="79"/>
      <c r="W93" s="16"/>
    </row>
    <row r="94" spans="1:27">
      <c r="B94" s="46">
        <v>5724647</v>
      </c>
      <c r="D94" s="14">
        <v>155</v>
      </c>
      <c r="E94" s="13">
        <v>58</v>
      </c>
      <c r="F94" s="13">
        <v>45</v>
      </c>
      <c r="G94" s="19">
        <v>7.7200000000000005E-2</v>
      </c>
      <c r="H94" s="45">
        <f t="shared" si="28"/>
        <v>404550</v>
      </c>
      <c r="I94" s="27" t="s">
        <v>45</v>
      </c>
      <c r="J94" s="31">
        <v>1.2</v>
      </c>
      <c r="K94" s="38">
        <f>IFERROR((VLOOKUP(I94,'DADES VOLUMS'!$A$3:$J$1005,5,FALSE))/(('CÀLCUL QUANTITATS VOLUM'!H94)*('CÀLCUL QUANTITATS VOLUM'!J94)),"")</f>
        <v>21.040044493882093</v>
      </c>
      <c r="L94" s="39">
        <f>IFERROR(G94*K94*VLOOKUP(I94,'DADES VOLUMS'!$A$3:$J$1005,6,FALSE),"")</f>
        <v>1.6242914349276976</v>
      </c>
      <c r="M94" s="39">
        <f>IFERROR(IF(L94&gt;VLOOKUP(I94,'DADES VOLUMS'!$A$3:$J$1005,9,FALSE),VLOOKUP(I94,'DADES VOLUMS'!$A$3:$J$1005,9,FALSE),L94),"")</f>
        <v>0</v>
      </c>
      <c r="N94" s="40">
        <f t="shared" ref="N94" si="30">IFERROR(K94*M94/L94,"")</f>
        <v>0</v>
      </c>
      <c r="O94" s="39">
        <f>IFERROR(N94*VLOOKUP(I94,'DADES VOLUMS'!$A$3:$J$1005,6,FALSE),"")</f>
        <v>0</v>
      </c>
      <c r="P94" s="42">
        <f>IFERROR(O94*VLOOKUP(I94,'DADES VOLUMS'!$A$3:$J$1005,8,FALSE),"")</f>
        <v>0</v>
      </c>
      <c r="Q94" s="28" t="str">
        <f t="shared" ref="Q94" si="31">IFERROR(C94/P94/5400,"")</f>
        <v/>
      </c>
      <c r="R94" s="16"/>
      <c r="S94" s="16"/>
      <c r="T94" s="16"/>
      <c r="U94" s="16"/>
      <c r="V94" s="79"/>
      <c r="W94" s="16"/>
    </row>
    <row r="95" spans="1:27">
      <c r="A95" s="46" t="s">
        <v>288</v>
      </c>
      <c r="B95" s="46" t="s">
        <v>289</v>
      </c>
      <c r="C95" s="47">
        <v>210000</v>
      </c>
      <c r="D95" s="14">
        <v>50</v>
      </c>
      <c r="E95" s="13">
        <v>22</v>
      </c>
      <c r="F95" s="13">
        <v>25</v>
      </c>
      <c r="G95" s="19">
        <v>1.03E-2</v>
      </c>
      <c r="H95" s="45">
        <f t="shared" si="28"/>
        <v>27500</v>
      </c>
      <c r="I95" s="27" t="s">
        <v>46</v>
      </c>
      <c r="J95" s="31">
        <v>1.2</v>
      </c>
      <c r="K95" s="38">
        <f>IFERROR((VLOOKUP(I95,'DADES VOLUMS'!$A$3:$J$1005,5,FALSE))/(('CÀLCUL QUANTITATS VOLUM'!H95)*('CÀLCUL QUANTITATS VOLUM'!J95)),"")</f>
        <v>498.75</v>
      </c>
      <c r="L95" s="39">
        <f>IFERROR(G95*K95*VLOOKUP(I95,'DADES VOLUMS'!$A$3:$J$1005,6,FALSE),"")</f>
        <v>5.1371250000000002</v>
      </c>
      <c r="M95" s="39">
        <f>IFERROR(IF(L95&gt;VLOOKUP(I95,'DADES VOLUMS'!$A$3:$J$1005,9,FALSE),VLOOKUP(I95,'DADES VOLUMS'!$A$3:$J$1005,9,FALSE),L95),"")</f>
        <v>0</v>
      </c>
      <c r="N95" s="40">
        <f t="shared" ref="N95" si="32">IFERROR(K95*M95/L95,"")</f>
        <v>0</v>
      </c>
      <c r="O95" s="39">
        <f>IFERROR(N95*VLOOKUP(I95,'DADES VOLUMS'!$A$3:$J$1005,6,FALSE),"")</f>
        <v>0</v>
      </c>
      <c r="P95" s="42">
        <f>IFERROR(O95*VLOOKUP(I95,'DADES VOLUMS'!$A$3:$J$1005,8,FALSE),"")</f>
        <v>0</v>
      </c>
      <c r="Q95" s="28" t="str">
        <f t="shared" ref="Q95" si="33">IFERROR(C95/P95/5400,"")</f>
        <v/>
      </c>
      <c r="R95" s="16"/>
      <c r="S95" s="16"/>
      <c r="T95" s="16"/>
      <c r="U95" s="16"/>
      <c r="V95" s="79"/>
      <c r="W95" s="16"/>
    </row>
    <row r="96" spans="1:27">
      <c r="A96" s="46" t="s">
        <v>216</v>
      </c>
      <c r="B96" s="46" t="s">
        <v>219</v>
      </c>
      <c r="C96" s="47">
        <v>1200000</v>
      </c>
      <c r="D96" s="14">
        <v>73</v>
      </c>
      <c r="E96" s="13">
        <v>69</v>
      </c>
      <c r="F96" s="13">
        <v>12</v>
      </c>
      <c r="G96" s="19">
        <v>9.3979999999999994E-2</v>
      </c>
      <c r="H96" s="45">
        <f t="shared" si="28"/>
        <v>60444</v>
      </c>
      <c r="I96" s="27" t="s">
        <v>134</v>
      </c>
      <c r="J96" s="31">
        <v>1.2</v>
      </c>
      <c r="K96" s="38">
        <f>IFERROR((VLOOKUP(I96,'DADES VOLUMS'!$A$3:$J$1005,5,FALSE))/(('CÀLCUL QUANTITATS VOLUM'!H96)*('CÀLCUL QUANTITATS VOLUM'!J96)),"")</f>
        <v>1323.5391436701741</v>
      </c>
      <c r="L96" s="39">
        <f>IFERROR(G96*K96*VLOOKUP(I96,'DADES VOLUMS'!$A$3:$J$1005,6,FALSE),"")</f>
        <v>373.15862616636889</v>
      </c>
      <c r="M96" s="39">
        <f>IFERROR(IF(L96&gt;VLOOKUP(I96,'DADES VOLUMS'!$A$3:$J$1005,9,FALSE),VLOOKUP(I96,'DADES VOLUMS'!$A$3:$J$1005,9,FALSE),L96),"")</f>
        <v>373.15862616636889</v>
      </c>
      <c r="N96" s="40">
        <f t="shared" ref="N96" si="34">IFERROR(K96*M96/L96,"")</f>
        <v>1323.5391436701741</v>
      </c>
      <c r="O96" s="39">
        <f>IFERROR(N96*VLOOKUP(I96,'DADES VOLUMS'!$A$3:$J$1005,6,FALSE),"")</f>
        <v>3970.6174310105225</v>
      </c>
      <c r="P96" s="42">
        <f>IFERROR(O96*VLOOKUP(I96,'DADES VOLUMS'!$A$3:$J$1005,8,FALSE),"")</f>
        <v>9926.5435775263068</v>
      </c>
      <c r="Q96" s="28">
        <f t="shared" ref="Q96:Q97" si="35">IFERROR(C96/P96/5400,"")</f>
        <v>2.2386666666666662E-2</v>
      </c>
      <c r="R96" s="16"/>
      <c r="S96" s="16"/>
      <c r="T96" s="16"/>
      <c r="U96" s="16"/>
      <c r="V96" s="79"/>
      <c r="W96" s="16"/>
    </row>
    <row r="97" spans="1:23">
      <c r="A97" s="46" t="s">
        <v>217</v>
      </c>
      <c r="B97" s="46" t="s">
        <v>220</v>
      </c>
      <c r="C97" s="47">
        <v>1850000</v>
      </c>
      <c r="D97" s="14">
        <v>73</v>
      </c>
      <c r="E97" s="13">
        <v>69</v>
      </c>
      <c r="F97" s="13">
        <v>12</v>
      </c>
      <c r="G97" s="19">
        <v>8.3489999999999995E-2</v>
      </c>
      <c r="H97" s="45">
        <f t="shared" si="28"/>
        <v>60444</v>
      </c>
      <c r="I97" s="27" t="s">
        <v>134</v>
      </c>
      <c r="J97" s="31">
        <v>1.2</v>
      </c>
      <c r="K97" s="38">
        <f>IFERROR((VLOOKUP(I97,'DADES VOLUMS'!$A$3:$J$1005,5,FALSE))/(('CÀLCUL QUANTITATS VOLUM'!H97)*('CÀLCUL QUANTITATS VOLUM'!J97)),"")</f>
        <v>1323.5391436701741</v>
      </c>
      <c r="L97" s="39">
        <f>IFERROR(G97*K97*VLOOKUP(I97,'DADES VOLUMS'!$A$3:$J$1005,6,FALSE),"")</f>
        <v>331.50684931506851</v>
      </c>
      <c r="M97" s="39">
        <f>IFERROR(IF(L97&gt;VLOOKUP(I97,'DADES VOLUMS'!$A$3:$J$1005,9,FALSE),VLOOKUP(I97,'DADES VOLUMS'!$A$3:$J$1005,9,FALSE),L97),"")</f>
        <v>331.50684931506851</v>
      </c>
      <c r="N97" s="40">
        <f t="shared" ref="N97" si="36">IFERROR(K97*M97/L97,"")</f>
        <v>1323.5391436701741</v>
      </c>
      <c r="O97" s="39">
        <f>IFERROR(N97*VLOOKUP(I97,'DADES VOLUMS'!$A$3:$J$1005,6,FALSE),"")</f>
        <v>3970.6174310105225</v>
      </c>
      <c r="P97" s="42">
        <f>IFERROR(O97*VLOOKUP(I97,'DADES VOLUMS'!$A$3:$J$1005,8,FALSE),"")</f>
        <v>9926.5435775263068</v>
      </c>
      <c r="Q97" s="28">
        <f t="shared" si="35"/>
        <v>3.4512777777777774E-2</v>
      </c>
      <c r="R97" s="16"/>
      <c r="S97" s="16"/>
      <c r="T97" s="16"/>
      <c r="U97" s="16"/>
      <c r="V97" s="79"/>
      <c r="W97" s="16"/>
    </row>
    <row r="98" spans="1:23">
      <c r="A98" s="46" t="s">
        <v>218</v>
      </c>
      <c r="B98" s="46" t="s">
        <v>221</v>
      </c>
      <c r="C98" s="47">
        <v>100000</v>
      </c>
      <c r="D98" s="14">
        <v>68</v>
      </c>
      <c r="E98" s="13">
        <v>68</v>
      </c>
      <c r="F98" s="13">
        <v>12</v>
      </c>
      <c r="G98" s="19">
        <v>6.7339999999999997E-2</v>
      </c>
      <c r="H98" s="45">
        <f t="shared" si="28"/>
        <v>55488</v>
      </c>
      <c r="I98" s="27" t="s">
        <v>134</v>
      </c>
      <c r="J98" s="31">
        <v>1.2</v>
      </c>
      <c r="K98" s="38">
        <f>IFERROR((VLOOKUP(I98,'DADES VOLUMS'!$A$3:$J$1005,5,FALSE))/(('CÀLCUL QUANTITATS VOLUM'!H98)*('CÀLCUL QUANTITATS VOLUM'!J98)),"")</f>
        <v>1441.7531718569783</v>
      </c>
      <c r="L98" s="39">
        <f>IFERROR(G98*K98*VLOOKUP(I98,'DADES VOLUMS'!$A$3:$J$1005,6,FALSE),"")</f>
        <v>291.26297577854672</v>
      </c>
      <c r="M98" s="39">
        <f>IFERROR(IF(L98&gt;VLOOKUP(I98,'DADES VOLUMS'!$A$3:$J$1005,9,FALSE),VLOOKUP(I98,'DADES VOLUMS'!$A$3:$J$1005,9,FALSE),L98),"")</f>
        <v>291.26297577854672</v>
      </c>
      <c r="N98" s="40">
        <f t="shared" ref="N98" si="37">IFERROR(K98*M98/L98,"")</f>
        <v>1441.7531718569783</v>
      </c>
      <c r="O98" s="39">
        <f>IFERROR(N98*VLOOKUP(I98,'DADES VOLUMS'!$A$3:$J$1005,6,FALSE),"")</f>
        <v>4325.259515570935</v>
      </c>
      <c r="P98" s="42">
        <f>IFERROR(O98*VLOOKUP(I98,'DADES VOLUMS'!$A$3:$J$1005,8,FALSE),"")</f>
        <v>10813.148788927338</v>
      </c>
      <c r="Q98" s="28">
        <f t="shared" ref="Q98" si="38">IFERROR(C98/P98/5400,"")</f>
        <v>1.7125925925925922E-3</v>
      </c>
      <c r="R98" s="16"/>
      <c r="S98" s="16"/>
      <c r="T98" s="16"/>
      <c r="U98" s="16"/>
      <c r="V98" s="79"/>
      <c r="W98" s="16"/>
    </row>
    <row r="99" spans="1:23">
      <c r="A99" s="46" t="s">
        <v>188</v>
      </c>
      <c r="B99" s="46" t="s">
        <v>189</v>
      </c>
      <c r="C99" s="47">
        <v>402153</v>
      </c>
      <c r="D99" s="14">
        <v>244</v>
      </c>
      <c r="E99" s="13">
        <v>179.7</v>
      </c>
      <c r="F99" s="13">
        <v>10</v>
      </c>
      <c r="G99" s="19">
        <v>9.0700000000000003E-2</v>
      </c>
      <c r="H99" s="45">
        <f t="shared" si="28"/>
        <v>438468</v>
      </c>
      <c r="I99" s="27" t="s">
        <v>28</v>
      </c>
      <c r="J99" s="31">
        <v>1</v>
      </c>
      <c r="K99" s="38">
        <f>IFERROR((VLOOKUP(I99,'DADES VOLUMS'!$A$3:$J$1005,5,FALSE))/(('CÀLCUL QUANTITATS VOLUM'!H99)*('CÀLCUL QUANTITATS VOLUM'!J99)),"")</f>
        <v>84.669804866033559</v>
      </c>
      <c r="L99" s="39">
        <f>IFERROR(G99*K99*VLOOKUP(I99,'DADES VOLUMS'!$A$3:$J$1005,6,FALSE),"")</f>
        <v>15.359102602698488</v>
      </c>
      <c r="M99" s="39">
        <f>IFERROR(IF(L99&gt;VLOOKUP(I99,'DADES VOLUMS'!$A$3:$J$1005,9,FALSE),VLOOKUP(I99,'DADES VOLUMS'!$A$3:$J$1005,9,FALSE),L99),"")</f>
        <v>0</v>
      </c>
      <c r="N99" s="40">
        <f t="shared" ref="N99:N105" si="39">IFERROR(K99*M99/L99,"")</f>
        <v>0</v>
      </c>
      <c r="O99" s="39">
        <f>IFERROR(N99*VLOOKUP(I99,'DADES VOLUMS'!$A$3:$J$1005,6,FALSE),"")</f>
        <v>0</v>
      </c>
      <c r="P99" s="42">
        <f>IFERROR(O99*VLOOKUP(I99,'DADES VOLUMS'!$A$3:$J$1005,8,FALSE),"")</f>
        <v>0</v>
      </c>
      <c r="Q99" s="28" t="str">
        <f t="shared" si="15"/>
        <v/>
      </c>
      <c r="R99" s="16"/>
      <c r="S99" s="16"/>
      <c r="T99" s="16"/>
      <c r="U99" s="16"/>
      <c r="V99" s="79"/>
      <c r="W99" s="16"/>
    </row>
    <row r="100" spans="1:23">
      <c r="A100" s="46" t="s">
        <v>190</v>
      </c>
      <c r="B100" s="46">
        <v>6646963</v>
      </c>
      <c r="C100" s="47">
        <v>440000</v>
      </c>
      <c r="D100" s="14">
        <v>148.30000000000001</v>
      </c>
      <c r="E100" s="13">
        <v>54.5</v>
      </c>
      <c r="F100" s="13">
        <v>73</v>
      </c>
      <c r="G100" s="19">
        <v>0.11260000000000001</v>
      </c>
      <c r="H100" s="45">
        <f t="shared" si="28"/>
        <v>590011.55000000005</v>
      </c>
      <c r="I100" s="27" t="s">
        <v>131</v>
      </c>
      <c r="J100" s="31">
        <v>1</v>
      </c>
      <c r="K100" s="38">
        <f>IFERROR((VLOOKUP(I100,'DADES VOLUMS'!$A$3:$J$1005,5,FALSE))/(('CÀLCUL QUANTITATS VOLUM'!H100)*('CÀLCUL QUANTITATS VOLUM'!J100)),"")</f>
        <v>305.07877345790939</v>
      </c>
      <c r="L100" s="39">
        <f>IFERROR(G100*K100*VLOOKUP(I100,'DADES VOLUMS'!$A$3:$J$1005,6,FALSE),"")</f>
        <v>34.3518698913606</v>
      </c>
      <c r="M100" s="39">
        <f>IFERROR(IF(L100&gt;VLOOKUP(I100,'DADES VOLUMS'!$A$3:$J$1005,9,FALSE),VLOOKUP(I100,'DADES VOLUMS'!$A$3:$J$1005,9,FALSE),L100),"")</f>
        <v>34.3518698913606</v>
      </c>
      <c r="N100" s="40">
        <f t="shared" si="39"/>
        <v>305.07877345790939</v>
      </c>
      <c r="O100" s="39">
        <f>IFERROR(N100*VLOOKUP(I100,'DADES VOLUMS'!$A$3:$J$1005,6,FALSE),"")</f>
        <v>305.07877345790939</v>
      </c>
      <c r="P100" s="42">
        <f>IFERROR(O100*VLOOKUP(I100,'DADES VOLUMS'!$A$3:$J$1005,8,FALSE),"")</f>
        <v>1525.393867289547</v>
      </c>
      <c r="Q100" s="28">
        <f t="shared" si="15"/>
        <v>5.3416683539094657E-2</v>
      </c>
      <c r="R100" s="16"/>
      <c r="S100" s="16"/>
      <c r="T100" s="16"/>
      <c r="U100" s="16"/>
      <c r="V100" s="79"/>
      <c r="W100" s="16"/>
    </row>
    <row r="101" spans="1:23">
      <c r="A101" s="46" t="s">
        <v>190</v>
      </c>
      <c r="B101" s="46">
        <v>6646963</v>
      </c>
      <c r="C101" s="47">
        <v>440000</v>
      </c>
      <c r="D101" s="14">
        <v>148.30000000000001</v>
      </c>
      <c r="E101" s="13">
        <v>54.5</v>
      </c>
      <c r="F101" s="13">
        <v>73</v>
      </c>
      <c r="G101" s="19">
        <v>0.11260000000000001</v>
      </c>
      <c r="H101" s="45">
        <f t="shared" ref="H101:H114" si="40">F101*E101*D101</f>
        <v>590011.55000000005</v>
      </c>
      <c r="I101" s="27" t="s">
        <v>46</v>
      </c>
      <c r="J101" s="31">
        <v>0.7</v>
      </c>
      <c r="K101" s="38">
        <f>IFERROR((VLOOKUP(I101,'DADES VOLUMS'!$A$3:$J$1005,5,FALSE))/(('CÀLCUL QUANTITATS VOLUM'!H101)*('CÀLCUL QUANTITATS VOLUM'!J101)),"")</f>
        <v>39.850914782939419</v>
      </c>
      <c r="L101" s="39">
        <f>IFERROR(G101*K101*VLOOKUP(I101,'DADES VOLUMS'!$A$3:$J$1005,6,FALSE),"")</f>
        <v>4.4872130045589786</v>
      </c>
      <c r="M101" s="39">
        <f>IFERROR(IF(L101&gt;VLOOKUP(I101,'DADES VOLUMS'!$A$3:$J$1005,9,FALSE),VLOOKUP(I101,'DADES VOLUMS'!$A$3:$J$1005,9,FALSE),L101),"")</f>
        <v>0</v>
      </c>
      <c r="N101" s="40">
        <f t="shared" si="39"/>
        <v>0</v>
      </c>
      <c r="O101" s="39">
        <f>IFERROR(N101*VLOOKUP(I101,'DADES VOLUMS'!$A$3:$J$1005,6,FALSE),"")</f>
        <v>0</v>
      </c>
      <c r="P101" s="42">
        <f>IFERROR(O101*VLOOKUP(I101,'DADES VOLUMS'!$A$3:$J$1005,8,FALSE),"")</f>
        <v>0</v>
      </c>
      <c r="Q101" s="28" t="str">
        <f t="shared" si="15"/>
        <v/>
      </c>
      <c r="R101" s="29"/>
      <c r="S101" s="16"/>
      <c r="T101" s="16"/>
      <c r="U101" s="16"/>
      <c r="V101" s="79"/>
      <c r="W101" s="16"/>
    </row>
    <row r="102" spans="1:23">
      <c r="A102" s="46" t="s">
        <v>290</v>
      </c>
      <c r="B102" s="46">
        <v>665593800</v>
      </c>
      <c r="C102" s="47">
        <v>440000</v>
      </c>
      <c r="D102" s="14">
        <v>45</v>
      </c>
      <c r="E102" s="13">
        <v>31</v>
      </c>
      <c r="F102" s="13">
        <v>12</v>
      </c>
      <c r="G102" s="19">
        <v>1.1849999999999999E-2</v>
      </c>
      <c r="H102" s="45">
        <f t="shared" si="40"/>
        <v>16740</v>
      </c>
      <c r="I102" s="27" t="s">
        <v>46</v>
      </c>
      <c r="J102" s="31">
        <v>1.2</v>
      </c>
      <c r="K102" s="38">
        <f>IFERROR((VLOOKUP(I102,'DADES VOLUMS'!$A$3:$J$1005,5,FALSE))/(('CÀLCUL QUANTITATS VOLUM'!H102)*('CÀLCUL QUANTITATS VOLUM'!J102)),"")</f>
        <v>819.33243727598563</v>
      </c>
      <c r="L102" s="39">
        <f>IFERROR(G102*K102*VLOOKUP(I102,'DADES VOLUMS'!$A$3:$J$1005,6,FALSE),"")</f>
        <v>9.70908938172043</v>
      </c>
      <c r="M102" s="39">
        <f>IFERROR(IF(L102&gt;VLOOKUP(I102,'DADES VOLUMS'!$A$3:$J$1005,9,FALSE),VLOOKUP(I102,'DADES VOLUMS'!$A$3:$J$1005,9,FALSE),L102),"")</f>
        <v>0</v>
      </c>
      <c r="N102" s="40">
        <f t="shared" ref="N102" si="41">IFERROR(K102*M102/L102,"")</f>
        <v>0</v>
      </c>
      <c r="O102" s="39">
        <f>IFERROR(N102*VLOOKUP(I102,'DADES VOLUMS'!$A$3:$J$1005,6,FALSE),"")</f>
        <v>0</v>
      </c>
      <c r="P102" s="42">
        <f>IFERROR(O102*VLOOKUP(I102,'DADES VOLUMS'!$A$3:$J$1005,8,FALSE),"")</f>
        <v>0</v>
      </c>
      <c r="Q102" s="28" t="str">
        <f t="shared" ref="Q102" si="42">IFERROR(C102/P102/5400,"")</f>
        <v/>
      </c>
      <c r="R102" s="29"/>
      <c r="S102" s="16"/>
      <c r="T102" s="16"/>
      <c r="U102" s="16"/>
      <c r="V102" s="79"/>
      <c r="W102" s="16"/>
    </row>
    <row r="103" spans="1:23">
      <c r="A103" s="46" t="s">
        <v>191</v>
      </c>
      <c r="B103" s="46" t="s">
        <v>192</v>
      </c>
      <c r="C103" s="47">
        <v>25000000</v>
      </c>
      <c r="D103" s="14">
        <v>64</v>
      </c>
      <c r="E103" s="13">
        <v>61</v>
      </c>
      <c r="F103" s="115">
        <v>4.2</v>
      </c>
      <c r="G103" s="19">
        <v>9.9100000000000004E-3</v>
      </c>
      <c r="H103" s="45">
        <f t="shared" si="40"/>
        <v>16396.8</v>
      </c>
      <c r="I103" s="27" t="s">
        <v>134</v>
      </c>
      <c r="J103" s="31">
        <v>1</v>
      </c>
      <c r="K103" s="38">
        <f>IFERROR((VLOOKUP(I103,'DADES VOLUMS'!$A$3:$J$1005,5,FALSE))/(('CÀLCUL QUANTITATS VOLUM'!H103)*('CÀLCUL QUANTITATS VOLUM'!J103)),"")</f>
        <v>5854.8009367681498</v>
      </c>
      <c r="L103" s="39">
        <f>IFERROR(G103*K103*VLOOKUP(I103,'DADES VOLUMS'!$A$3:$J$1005,6,FALSE),"")</f>
        <v>174.06323185011709</v>
      </c>
      <c r="M103" s="39">
        <f>IFERROR(IF(L103&gt;VLOOKUP(I103,'DADES VOLUMS'!$A$3:$J$1005,9,FALSE),VLOOKUP(I103,'DADES VOLUMS'!$A$3:$J$1005,9,FALSE),L103),"")</f>
        <v>174.06323185011709</v>
      </c>
      <c r="N103" s="40">
        <f t="shared" si="39"/>
        <v>5854.8009367681498</v>
      </c>
      <c r="O103" s="39">
        <f>IFERROR(N103*VLOOKUP(I103,'DADES VOLUMS'!$A$3:$J$1005,6,FALSE),"")</f>
        <v>17564.402810304447</v>
      </c>
      <c r="P103" s="42">
        <f>IFERROR(O103*VLOOKUP(I103,'DADES VOLUMS'!$A$3:$J$1005,8,FALSE),"")</f>
        <v>43911.007025761122</v>
      </c>
      <c r="Q103" s="28">
        <f t="shared" si="15"/>
        <v>0.10543209876543211</v>
      </c>
      <c r="R103" s="29"/>
      <c r="S103" s="16"/>
      <c r="T103" s="16"/>
      <c r="U103" s="16"/>
      <c r="V103" s="79"/>
      <c r="W103" s="16"/>
    </row>
    <row r="104" spans="1:23">
      <c r="A104" s="46" t="s">
        <v>191</v>
      </c>
      <c r="B104" s="46" t="s">
        <v>193</v>
      </c>
      <c r="C104" s="47">
        <v>800000</v>
      </c>
      <c r="D104" s="117">
        <v>64.5</v>
      </c>
      <c r="E104" s="13">
        <v>51</v>
      </c>
      <c r="F104" s="115">
        <v>4.2</v>
      </c>
      <c r="G104" s="19">
        <v>7.5500000000000003E-3</v>
      </c>
      <c r="H104" s="45">
        <f t="shared" si="40"/>
        <v>13815.900000000001</v>
      </c>
      <c r="I104" s="27" t="s">
        <v>134</v>
      </c>
      <c r="J104" s="31">
        <v>1</v>
      </c>
      <c r="K104" s="38">
        <f>IFERROR((VLOOKUP(I104,'DADES VOLUMS'!$A$3:$J$1005,5,FALSE))/(('CÀLCUL QUANTITATS VOLUM'!H104)*('CÀLCUL QUANTITATS VOLUM'!J104)),"")</f>
        <v>6948.5158404447047</v>
      </c>
      <c r="L104" s="39">
        <f>IFERROR(G104*K104*VLOOKUP(I104,'DADES VOLUMS'!$A$3:$J$1005,6,FALSE),"")</f>
        <v>157.38388378607257</v>
      </c>
      <c r="M104" s="39">
        <f>IFERROR(IF(L104&gt;VLOOKUP(I104,'DADES VOLUMS'!$A$3:$J$1005,9,FALSE),VLOOKUP(I104,'DADES VOLUMS'!$A$3:$J$1005,9,FALSE),L104),"")</f>
        <v>157.38388378607257</v>
      </c>
      <c r="N104" s="40">
        <f t="shared" si="39"/>
        <v>6948.5158404447038</v>
      </c>
      <c r="O104" s="39">
        <f>IFERROR(N104*VLOOKUP(I104,'DADES VOLUMS'!$A$3:$J$1005,6,FALSE),"")</f>
        <v>20845.547521334112</v>
      </c>
      <c r="P104" s="42">
        <f>IFERROR(O104*VLOOKUP(I104,'DADES VOLUMS'!$A$3:$J$1005,8,FALSE),"")</f>
        <v>52113.868803335281</v>
      </c>
      <c r="Q104" s="28">
        <f t="shared" si="15"/>
        <v>2.8427777777777783E-3</v>
      </c>
      <c r="R104" s="29"/>
      <c r="S104" s="16"/>
      <c r="T104" s="16"/>
      <c r="U104" s="16"/>
      <c r="V104" s="79"/>
      <c r="W104" s="16"/>
    </row>
    <row r="105" spans="1:23">
      <c r="A105" s="46" t="s">
        <v>191</v>
      </c>
      <c r="B105" s="46" t="s">
        <v>194</v>
      </c>
      <c r="C105" s="47">
        <v>800000</v>
      </c>
      <c r="D105" s="117">
        <v>64.5</v>
      </c>
      <c r="E105" s="13">
        <v>51</v>
      </c>
      <c r="F105" s="115">
        <v>4.2</v>
      </c>
      <c r="G105" s="19">
        <v>7.5900000000000004E-3</v>
      </c>
      <c r="H105" s="45">
        <f t="shared" si="40"/>
        <v>13815.900000000001</v>
      </c>
      <c r="I105" s="27" t="s">
        <v>134</v>
      </c>
      <c r="J105" s="31">
        <v>1</v>
      </c>
      <c r="K105" s="38">
        <f>IFERROR((VLOOKUP(I105,'DADES VOLUMS'!$A$3:$J$1005,5,FALSE))/(('CÀLCUL QUANTITATS VOLUM'!H105)*('CÀLCUL QUANTITATS VOLUM'!J105)),"")</f>
        <v>6948.5158404447047</v>
      </c>
      <c r="L105" s="39">
        <f>IFERROR(G105*K105*VLOOKUP(I105,'DADES VOLUMS'!$A$3:$J$1005,6,FALSE),"")</f>
        <v>158.21770568692594</v>
      </c>
      <c r="M105" s="39">
        <f>IFERROR(IF(L105&gt;VLOOKUP(I105,'DADES VOLUMS'!$A$3:$J$1005,9,FALSE),VLOOKUP(I105,'DADES VOLUMS'!$A$3:$J$1005,9,FALSE),L105),"")</f>
        <v>158.21770568692594</v>
      </c>
      <c r="N105" s="40">
        <f t="shared" si="39"/>
        <v>6948.5158404447047</v>
      </c>
      <c r="O105" s="39">
        <f>IFERROR(N105*VLOOKUP(I105,'DADES VOLUMS'!$A$3:$J$1005,6,FALSE),"")</f>
        <v>20845.547521334112</v>
      </c>
      <c r="P105" s="42">
        <f>IFERROR(O105*VLOOKUP(I105,'DADES VOLUMS'!$A$3:$J$1005,8,FALSE),"")</f>
        <v>52113.868803335281</v>
      </c>
      <c r="Q105" s="28">
        <f t="shared" si="15"/>
        <v>2.8427777777777783E-3</v>
      </c>
      <c r="R105" s="29"/>
      <c r="S105" s="16"/>
      <c r="T105" s="16"/>
      <c r="U105" s="16"/>
      <c r="V105" s="79"/>
      <c r="W105" s="16"/>
    </row>
    <row r="106" spans="1:23">
      <c r="A106" s="46" t="s">
        <v>195</v>
      </c>
      <c r="B106" s="46" t="s">
        <v>196</v>
      </c>
      <c r="C106" s="47">
        <v>30000</v>
      </c>
      <c r="D106" s="14">
        <v>385</v>
      </c>
      <c r="E106" s="13">
        <v>65</v>
      </c>
      <c r="F106" s="13">
        <v>63</v>
      </c>
      <c r="G106" s="19">
        <v>0.3911</v>
      </c>
      <c r="H106" s="45">
        <f t="shared" si="40"/>
        <v>1576575</v>
      </c>
      <c r="I106" s="27">
        <v>185</v>
      </c>
      <c r="J106" s="31">
        <v>1</v>
      </c>
      <c r="K106" s="38">
        <f>IFERROR((VLOOKUP(I106,'DADES VOLUMS'!$A$3:$J$1005,5,FALSE))/(('CÀLCUL QUANTITATS VOLUM'!H106)*('CÀLCUL QUANTITATS VOLUM'!J106)),"")</f>
        <v>43.7847866419295</v>
      </c>
      <c r="L106" s="39">
        <f>IFERROR(G106*K106*VLOOKUP(I106,'DADES VOLUMS'!$A$3:$J$1005,6,FALSE),"")</f>
        <v>17.124230055658629</v>
      </c>
      <c r="M106" s="39">
        <f>IFERROR(IF(L106&gt;VLOOKUP(I106,'DADES VOLUMS'!$A$3:$J$1005,9,FALSE),VLOOKUP(I106,'DADES VOLUMS'!$A$3:$J$1005,9,FALSE),L106),"")</f>
        <v>0</v>
      </c>
      <c r="N106" s="40">
        <f t="shared" ref="N106:N114" si="43">IFERROR(K106*M106/L106,"")</f>
        <v>0</v>
      </c>
      <c r="O106" s="39">
        <f>IFERROR(N106*VLOOKUP(I106,'DADES VOLUMS'!$A$3:$J$1005,6,FALSE),"")</f>
        <v>0</v>
      </c>
      <c r="P106" s="42">
        <f>IFERROR(O106*VLOOKUP(I106,'DADES VOLUMS'!$A$3:$J$1005,8,FALSE),"")</f>
        <v>0</v>
      </c>
      <c r="Q106" s="28" t="str">
        <f t="shared" si="15"/>
        <v/>
      </c>
      <c r="R106" s="29"/>
      <c r="S106" s="16"/>
      <c r="T106" s="16"/>
      <c r="U106" s="16"/>
      <c r="V106" s="79"/>
      <c r="W106" s="16"/>
    </row>
    <row r="107" spans="1:23">
      <c r="A107" s="46" t="s">
        <v>197</v>
      </c>
      <c r="B107" s="46" t="s">
        <v>198</v>
      </c>
      <c r="C107" s="47">
        <v>1500000</v>
      </c>
      <c r="D107" s="14">
        <v>66</v>
      </c>
      <c r="E107" s="13">
        <v>66</v>
      </c>
      <c r="F107" s="13">
        <v>15</v>
      </c>
      <c r="G107" s="19">
        <v>6.8629999999999997E-2</v>
      </c>
      <c r="H107" s="45">
        <f t="shared" si="40"/>
        <v>65340</v>
      </c>
      <c r="I107" s="27">
        <v>181</v>
      </c>
      <c r="J107" s="31">
        <v>0.7</v>
      </c>
      <c r="K107" s="38">
        <f>IFERROR((VLOOKUP(I107,'DADES VOLUMS'!$A$3:$J$1005,5,FALSE))/(('CÀLCUL QUANTITATS VOLUM'!H107)*('CÀLCUL QUANTITATS VOLUM'!J107)),"")</f>
        <v>169.15256460711007</v>
      </c>
      <c r="L107" s="39">
        <f>IFERROR(G107*K107*VLOOKUP(I107,'DADES VOLUMS'!$A$3:$J$1005,6,FALSE),"")</f>
        <v>11.608940508985963</v>
      </c>
      <c r="M107" s="39">
        <f>IFERROR(IF(L107&gt;VLOOKUP(I107,'DADES VOLUMS'!$A$3:$J$1005,9,FALSE),VLOOKUP(I107,'DADES VOLUMS'!$A$3:$J$1005,9,FALSE),L107),"")</f>
        <v>0</v>
      </c>
      <c r="N107" s="40">
        <f t="shared" si="43"/>
        <v>0</v>
      </c>
      <c r="O107" s="39">
        <f>IFERROR(N107*VLOOKUP(I107,'DADES VOLUMS'!$A$3:$J$1005,6,FALSE),"")</f>
        <v>0</v>
      </c>
      <c r="P107" s="42">
        <f>IFERROR(O107*VLOOKUP(I107,'DADES VOLUMS'!$A$3:$J$1005,8,FALSE),"")</f>
        <v>0</v>
      </c>
      <c r="Q107" s="28" t="str">
        <f t="shared" si="15"/>
        <v/>
      </c>
      <c r="R107" s="29"/>
      <c r="S107" s="16"/>
      <c r="T107" s="16"/>
      <c r="U107" s="16"/>
      <c r="V107" s="79"/>
      <c r="W107" s="16"/>
    </row>
    <row r="108" spans="1:23">
      <c r="A108" s="46" t="s">
        <v>199</v>
      </c>
      <c r="B108" s="46" t="s">
        <v>200</v>
      </c>
      <c r="C108" s="47">
        <v>300000</v>
      </c>
      <c r="D108" s="14">
        <v>125</v>
      </c>
      <c r="E108" s="13">
        <v>113</v>
      </c>
      <c r="F108" s="13">
        <v>42</v>
      </c>
      <c r="G108" s="19">
        <v>0.11169999999999999</v>
      </c>
      <c r="H108" s="45">
        <f t="shared" si="40"/>
        <v>593250</v>
      </c>
      <c r="I108" s="27" t="s">
        <v>47</v>
      </c>
      <c r="J108" s="31">
        <v>0.7</v>
      </c>
      <c r="K108" s="38">
        <f>IFERROR((VLOOKUP(I108,'DADES VOLUMS'!$A$3:$J$1005,5,FALSE))/(('CÀLCUL QUANTITATS VOLUM'!H108)*('CÀLCUL QUANTITATS VOLUM'!J108)),"")</f>
        <v>57.390644753476614</v>
      </c>
      <c r="L108" s="39">
        <f>IFERROR(G108*K108*VLOOKUP(I108,'DADES VOLUMS'!$A$3:$J$1005,6,FALSE),"")</f>
        <v>6.4105350189633379</v>
      </c>
      <c r="M108" s="39">
        <f>IFERROR(IF(L108&gt;VLOOKUP(I108,'DADES VOLUMS'!$A$3:$J$1005,9,FALSE),VLOOKUP(I108,'DADES VOLUMS'!$A$3:$J$1005,9,FALSE),L108),"")</f>
        <v>0</v>
      </c>
      <c r="N108" s="40">
        <f t="shared" si="43"/>
        <v>0</v>
      </c>
      <c r="O108" s="39">
        <f>IFERROR(N108*VLOOKUP(I108,'DADES VOLUMS'!$A$3:$J$1005,6,FALSE),"")</f>
        <v>0</v>
      </c>
      <c r="P108" s="42">
        <f>IFERROR(O108*VLOOKUP(I108,'DADES VOLUMS'!$A$3:$J$1005,8,FALSE),"")</f>
        <v>0</v>
      </c>
      <c r="Q108" s="28" t="str">
        <f t="shared" si="15"/>
        <v/>
      </c>
      <c r="R108" s="29"/>
      <c r="S108" s="16"/>
      <c r="T108" s="16"/>
      <c r="U108" s="16"/>
      <c r="V108" s="79"/>
      <c r="W108" s="16"/>
    </row>
    <row r="109" spans="1:23">
      <c r="A109" s="46" t="s">
        <v>201</v>
      </c>
      <c r="B109" s="46" t="s">
        <v>200</v>
      </c>
      <c r="C109" s="47">
        <v>181500</v>
      </c>
      <c r="D109" s="14">
        <v>302</v>
      </c>
      <c r="E109" s="13">
        <v>78</v>
      </c>
      <c r="F109" s="13">
        <v>156</v>
      </c>
      <c r="G109" s="19">
        <v>0.43217</v>
      </c>
      <c r="H109" s="45">
        <f t="shared" si="40"/>
        <v>3674736</v>
      </c>
      <c r="I109" s="27" t="s">
        <v>48</v>
      </c>
      <c r="J109" s="31">
        <v>0.7</v>
      </c>
      <c r="K109" s="38">
        <f>IFERROR((VLOOKUP(I109,'DADES VOLUMS'!$A$3:$J$1005,5,FALSE))/(('CÀLCUL QUANTITATS VOLUM'!H109)*('CÀLCUL QUANTITATS VOLUM'!J109)),"")</f>
        <v>13.417873517211268</v>
      </c>
      <c r="L109" s="39">
        <f>IFERROR(G109*K109*VLOOKUP(I109,'DADES VOLUMS'!$A$3:$J$1005,6,FALSE),"")</f>
        <v>5.7988023979331933</v>
      </c>
      <c r="M109" s="39">
        <f>IFERROR(IF(L109&gt;VLOOKUP(I109,'DADES VOLUMS'!$A$3:$J$1005,9,FALSE),VLOOKUP(I109,'DADES VOLUMS'!$A$3:$J$1005,9,FALSE),L109),"")</f>
        <v>0</v>
      </c>
      <c r="N109" s="40">
        <f t="shared" si="43"/>
        <v>0</v>
      </c>
      <c r="O109" s="39">
        <f>IFERROR(N109*VLOOKUP(I109,'DADES VOLUMS'!$A$3:$J$1005,6,FALSE),"")</f>
        <v>0</v>
      </c>
      <c r="P109" s="42">
        <f>IFERROR(O109*VLOOKUP(I109,'DADES VOLUMS'!$A$3:$J$1005,8,FALSE),"")</f>
        <v>0</v>
      </c>
      <c r="Q109" s="28" t="str">
        <f t="shared" si="15"/>
        <v/>
      </c>
      <c r="R109" s="29"/>
      <c r="S109" s="16"/>
      <c r="T109" s="16"/>
      <c r="U109" s="16"/>
      <c r="V109" s="79"/>
      <c r="W109" s="16"/>
    </row>
    <row r="110" spans="1:23">
      <c r="A110" s="46" t="s">
        <v>201</v>
      </c>
      <c r="B110" s="46" t="s">
        <v>200</v>
      </c>
      <c r="C110" s="47">
        <v>181500</v>
      </c>
      <c r="D110" s="14">
        <v>302</v>
      </c>
      <c r="E110" s="13">
        <v>78</v>
      </c>
      <c r="F110" s="13">
        <v>156</v>
      </c>
      <c r="G110" s="19">
        <v>0.43217</v>
      </c>
      <c r="H110" s="45">
        <f t="shared" si="40"/>
        <v>3674736</v>
      </c>
      <c r="I110" s="27" t="s">
        <v>131</v>
      </c>
      <c r="J110" s="31">
        <v>0.7</v>
      </c>
      <c r="K110" s="38">
        <f>IFERROR((VLOOKUP(I110,'DADES VOLUMS'!$A$3:$J$1005,5,FALSE))/(('CÀLCUL QUANTITATS VOLUM'!H110)*('CÀLCUL QUANTITATS VOLUM'!J110)),"")</f>
        <v>69.975872319224337</v>
      </c>
      <c r="L110" s="39">
        <f>IFERROR(G110*K110*VLOOKUP(I110,'DADES VOLUMS'!$A$3:$J$1005,6,FALSE),"")</f>
        <v>30.241472740199182</v>
      </c>
      <c r="M110" s="39">
        <f>IFERROR(IF(L110&gt;VLOOKUP(I110,'DADES VOLUMS'!$A$3:$J$1005,9,FALSE),VLOOKUP(I110,'DADES VOLUMS'!$A$3:$J$1005,9,FALSE),L110),"")</f>
        <v>30.241472740199182</v>
      </c>
      <c r="N110" s="40">
        <f t="shared" si="43"/>
        <v>69.975872319224337</v>
      </c>
      <c r="O110" s="39">
        <f>IFERROR(N110*VLOOKUP(I110,'DADES VOLUMS'!$A$3:$J$1005,6,FALSE),"")</f>
        <v>69.975872319224337</v>
      </c>
      <c r="P110" s="42">
        <f>IFERROR(O110*VLOOKUP(I110,'DADES VOLUMS'!$A$3:$J$1005,8,FALSE),"")</f>
        <v>349.87936159612167</v>
      </c>
      <c r="Q110" s="28">
        <f t="shared" si="15"/>
        <v>9.6064857777777776E-2</v>
      </c>
      <c r="R110" s="29"/>
      <c r="S110" s="16"/>
      <c r="T110" s="16"/>
      <c r="U110" s="16"/>
      <c r="V110" s="79"/>
      <c r="W110" s="16"/>
    </row>
    <row r="111" spans="1:23">
      <c r="A111" s="46" t="s">
        <v>213</v>
      </c>
      <c r="B111" s="46" t="s">
        <v>214</v>
      </c>
      <c r="C111" s="47">
        <v>3100000</v>
      </c>
      <c r="D111" s="14">
        <v>60.5</v>
      </c>
      <c r="E111" s="13">
        <v>61</v>
      </c>
      <c r="F111" s="13">
        <v>23</v>
      </c>
      <c r="G111" s="19">
        <v>8.2580000000000001E-2</v>
      </c>
      <c r="H111" s="45">
        <f t="shared" si="40"/>
        <v>84881.5</v>
      </c>
      <c r="I111" s="27" t="s">
        <v>134</v>
      </c>
      <c r="J111" s="31">
        <v>1.2</v>
      </c>
      <c r="K111" s="38">
        <f>IFERROR((VLOOKUP(I111,'DADES VOLUMS'!$A$3:$J$1005,5,FALSE))/(('CÀLCUL QUANTITATS VOLUM'!H111)*('CÀLCUL QUANTITATS VOLUM'!J111)),"")</f>
        <v>942.49041310532914</v>
      </c>
      <c r="L111" s="39">
        <f>IFERROR(G111*K111*VLOOKUP(I111,'DADES VOLUMS'!$A$3:$J$1005,6,FALSE),"")</f>
        <v>233.49257494271427</v>
      </c>
      <c r="M111" s="39">
        <f>IFERROR(IF(L111&gt;VLOOKUP(I111,'DADES VOLUMS'!$A$3:$J$1005,9,FALSE),VLOOKUP(I111,'DADES VOLUMS'!$A$3:$J$1005,9,FALSE),L111),"")</f>
        <v>233.49257494271427</v>
      </c>
      <c r="N111" s="40">
        <f t="shared" ref="N111" si="44">IFERROR(K111*M111/L111,"")</f>
        <v>942.49041310532914</v>
      </c>
      <c r="O111" s="39">
        <f>IFERROR(N111*VLOOKUP(I111,'DADES VOLUMS'!$A$3:$J$1005,6,FALSE),"")</f>
        <v>2827.4712393159875</v>
      </c>
      <c r="P111" s="42">
        <f>IFERROR(O111*VLOOKUP(I111,'DADES VOLUMS'!$A$3:$J$1005,8,FALSE),"")</f>
        <v>7068.6780982899691</v>
      </c>
      <c r="Q111" s="28">
        <f t="shared" ref="Q111" si="45">IFERROR(C111/P111/5400,"")</f>
        <v>8.1213780864197532E-2</v>
      </c>
      <c r="R111" s="29"/>
      <c r="S111" s="16"/>
      <c r="T111" s="16"/>
      <c r="U111" s="16"/>
      <c r="V111" s="79"/>
      <c r="W111" s="16"/>
    </row>
    <row r="112" spans="1:23">
      <c r="A112" s="46" t="s">
        <v>215</v>
      </c>
      <c r="B112" s="46" t="s">
        <v>214</v>
      </c>
      <c r="C112" s="47">
        <v>450000</v>
      </c>
      <c r="D112" s="14">
        <v>61</v>
      </c>
      <c r="E112" s="13">
        <v>61</v>
      </c>
      <c r="F112" s="13">
        <v>27</v>
      </c>
      <c r="G112" s="19">
        <v>9.3979999999999994E-2</v>
      </c>
      <c r="H112" s="45">
        <f t="shared" si="40"/>
        <v>100467</v>
      </c>
      <c r="I112" s="27" t="s">
        <v>134</v>
      </c>
      <c r="J112" s="31">
        <v>1.2</v>
      </c>
      <c r="K112" s="38">
        <f>IFERROR((VLOOKUP(I112,'DADES VOLUMS'!$A$3:$J$1005,5,FALSE))/(('CÀLCUL QUANTITATS VOLUM'!H112)*('CÀLCUL QUANTITATS VOLUM'!J112)),"")</f>
        <v>796.28136602068344</v>
      </c>
      <c r="L112" s="39">
        <f>IFERROR(G112*K112*VLOOKUP(I112,'DADES VOLUMS'!$A$3:$J$1005,6,FALSE),"")</f>
        <v>224.50356833587148</v>
      </c>
      <c r="M112" s="39">
        <f>IFERROR(IF(L112&gt;VLOOKUP(I112,'DADES VOLUMS'!$A$3:$J$1005,9,FALSE),VLOOKUP(I112,'DADES VOLUMS'!$A$3:$J$1005,9,FALSE),L112),"")</f>
        <v>224.50356833587148</v>
      </c>
      <c r="N112" s="40">
        <f t="shared" ref="N112" si="46">IFERROR(K112*M112/L112,"")</f>
        <v>796.28136602068355</v>
      </c>
      <c r="O112" s="39">
        <f>IFERROR(N112*VLOOKUP(I112,'DADES VOLUMS'!$A$3:$J$1005,6,FALSE),"")</f>
        <v>2388.8440980620508</v>
      </c>
      <c r="P112" s="42">
        <f>IFERROR(O112*VLOOKUP(I112,'DADES VOLUMS'!$A$3:$J$1005,8,FALSE),"")</f>
        <v>5972.1102451551269</v>
      </c>
      <c r="Q112" s="28">
        <f t="shared" ref="Q112" si="47">IFERROR(C112/P112/5400,"")</f>
        <v>1.3953749999999997E-2</v>
      </c>
      <c r="R112" s="29"/>
      <c r="S112" s="16"/>
      <c r="T112" s="16"/>
      <c r="U112" s="16"/>
      <c r="V112" s="79"/>
      <c r="W112" s="16"/>
    </row>
    <row r="113" spans="1:23">
      <c r="A113" s="46" t="s">
        <v>238</v>
      </c>
      <c r="B113" s="46" t="s">
        <v>214</v>
      </c>
      <c r="C113" s="47">
        <v>1350000</v>
      </c>
      <c r="D113" s="14">
        <v>61</v>
      </c>
      <c r="E113" s="13">
        <v>61</v>
      </c>
      <c r="F113" s="13">
        <v>35</v>
      </c>
      <c r="G113" s="19">
        <v>0.11659</v>
      </c>
      <c r="H113" s="45">
        <f t="shared" ref="H113" si="48">F113*E113*D113</f>
        <v>130235</v>
      </c>
      <c r="I113" s="27" t="s">
        <v>134</v>
      </c>
      <c r="J113" s="31">
        <v>1.2</v>
      </c>
      <c r="K113" s="38">
        <f>IFERROR((VLOOKUP(I113,'DADES VOLUMS'!$A$3:$J$1005,5,FALSE))/(('CÀLCUL QUANTITATS VOLUM'!H113)*('CÀLCUL QUANTITATS VOLUM'!J113)),"")</f>
        <v>614.27419664452725</v>
      </c>
      <c r="L113" s="39">
        <f>IFERROR(G113*K113*VLOOKUP(I113,'DADES VOLUMS'!$A$3:$J$1005,6,FALSE),"")</f>
        <v>214.85468576035629</v>
      </c>
      <c r="M113" s="39">
        <f>IFERROR(IF(L113&gt;VLOOKUP(I113,'DADES VOLUMS'!$A$3:$J$1005,9,FALSE),VLOOKUP(I113,'DADES VOLUMS'!$A$3:$J$1005,9,FALSE),L113),"")</f>
        <v>214.85468576035629</v>
      </c>
      <c r="N113" s="40">
        <f t="shared" ref="N113" si="49">IFERROR(K113*M113/L113,"")</f>
        <v>614.27419664452725</v>
      </c>
      <c r="O113" s="39">
        <f>IFERROR(N113*VLOOKUP(I113,'DADES VOLUMS'!$A$3:$J$1005,6,FALSE),"")</f>
        <v>1842.8225899335816</v>
      </c>
      <c r="P113" s="42">
        <f>IFERROR(O113*VLOOKUP(I113,'DADES VOLUMS'!$A$3:$J$1005,8,FALSE),"")</f>
        <v>4607.0564748339539</v>
      </c>
      <c r="Q113" s="28">
        <f t="shared" ref="Q113" si="50">IFERROR(C113/P113/5400,"")</f>
        <v>5.4264583333333331E-2</v>
      </c>
      <c r="R113" s="29"/>
      <c r="S113" s="16"/>
      <c r="T113" s="16"/>
      <c r="U113" s="16"/>
      <c r="V113" s="79"/>
      <c r="W113" s="16"/>
    </row>
    <row r="114" spans="1:23">
      <c r="A114" s="46" t="s">
        <v>202</v>
      </c>
      <c r="B114" s="46" t="s">
        <v>203</v>
      </c>
      <c r="C114" s="47">
        <v>300000</v>
      </c>
      <c r="D114" s="14">
        <v>168</v>
      </c>
      <c r="E114" s="13">
        <v>117</v>
      </c>
      <c r="F114" s="13">
        <v>37</v>
      </c>
      <c r="G114" s="19">
        <v>0.23602000000000001</v>
      </c>
      <c r="H114" s="45">
        <f t="shared" si="40"/>
        <v>727272</v>
      </c>
      <c r="I114" s="27" t="s">
        <v>131</v>
      </c>
      <c r="J114" s="31">
        <v>0.7</v>
      </c>
      <c r="K114" s="38">
        <f>IFERROR((VLOOKUP(I114,'DADES VOLUMS'!$A$3:$J$1005,5,FALSE))/(('CÀLCUL QUANTITATS VOLUM'!H114)*('CÀLCUL QUANTITATS VOLUM'!J114)),"")</f>
        <v>353.57178214321073</v>
      </c>
      <c r="L114" s="39">
        <f>IFERROR(G114*K114*VLOOKUP(I114,'DADES VOLUMS'!$A$3:$J$1005,6,FALSE),"")</f>
        <v>83.4500120214406</v>
      </c>
      <c r="M114" s="39">
        <f>IFERROR(IF(L114&gt;VLOOKUP(I114,'DADES VOLUMS'!$A$3:$J$1005,9,FALSE),VLOOKUP(I114,'DADES VOLUMS'!$A$3:$J$1005,9,FALSE),L114),"")</f>
        <v>83.4500120214406</v>
      </c>
      <c r="N114" s="40">
        <f t="shared" si="43"/>
        <v>353.57178214321073</v>
      </c>
      <c r="O114" s="39">
        <f>IFERROR(N114*VLOOKUP(I114,'DADES VOLUMS'!$A$3:$J$1005,6,FALSE),"")</f>
        <v>353.57178214321073</v>
      </c>
      <c r="P114" s="42">
        <f>IFERROR(O114*VLOOKUP(I114,'DADES VOLUMS'!$A$3:$J$1005,8,FALSE),"")</f>
        <v>1767.8589107160537</v>
      </c>
      <c r="Q114" s="28">
        <f t="shared" si="15"/>
        <v>3.1425333333333333E-2</v>
      </c>
      <c r="R114" s="29"/>
      <c r="S114" s="16"/>
      <c r="T114" s="16"/>
      <c r="U114" s="16"/>
      <c r="V114" s="79"/>
      <c r="W114" s="16"/>
    </row>
    <row r="115" spans="1:23">
      <c r="A115" s="46" t="s">
        <v>202</v>
      </c>
      <c r="B115" s="46" t="s">
        <v>203</v>
      </c>
      <c r="C115" s="47">
        <v>300000</v>
      </c>
      <c r="D115" s="14">
        <v>168</v>
      </c>
      <c r="E115" s="13">
        <v>117</v>
      </c>
      <c r="F115" s="13">
        <v>37</v>
      </c>
      <c r="G115" s="19">
        <v>0.23602000000000001</v>
      </c>
      <c r="H115" s="45">
        <f t="shared" ref="H115:H116" si="51">F115*E115*D115</f>
        <v>727272</v>
      </c>
      <c r="I115" s="27" t="s">
        <v>47</v>
      </c>
      <c r="J115" s="31">
        <v>0.7</v>
      </c>
      <c r="K115" s="38">
        <f>IFERROR((VLOOKUP(I115,'DADES VOLUMS'!$A$3:$J$1005,5,FALSE))/(('CÀLCUL QUANTITATS VOLUM'!H115)*('CÀLCUL QUANTITATS VOLUM'!J115)),"")</f>
        <v>46.814671814671819</v>
      </c>
      <c r="L115" s="39">
        <f>IFERROR(G115*K115*VLOOKUP(I115,'DADES VOLUMS'!$A$3:$J$1005,6,FALSE),"")</f>
        <v>11.049198841698843</v>
      </c>
      <c r="M115" s="39">
        <f>IFERROR(IF(L115&gt;VLOOKUP(I115,'DADES VOLUMS'!$A$3:$J$1005,9,FALSE),VLOOKUP(I115,'DADES VOLUMS'!$A$3:$J$1005,9,FALSE),L115),"")</f>
        <v>0</v>
      </c>
      <c r="N115" s="40">
        <f t="shared" ref="N115" si="52">IFERROR(K115*M115/L115,"")</f>
        <v>0</v>
      </c>
      <c r="O115" s="39">
        <f>IFERROR(N115*VLOOKUP(I115,'DADES VOLUMS'!$A$3:$J$1005,6,FALSE),"")</f>
        <v>0</v>
      </c>
      <c r="P115" s="42">
        <f>IFERROR(O115*VLOOKUP(I115,'DADES VOLUMS'!$A$3:$J$1005,8,FALSE),"")</f>
        <v>0</v>
      </c>
      <c r="Q115" s="28" t="str">
        <f t="shared" si="15"/>
        <v/>
      </c>
      <c r="R115" s="29"/>
      <c r="S115" s="16"/>
      <c r="T115" s="16"/>
      <c r="U115" s="16"/>
      <c r="V115" s="79"/>
      <c r="W115" s="16"/>
    </row>
    <row r="116" spans="1:23">
      <c r="A116" s="46" t="s">
        <v>204</v>
      </c>
      <c r="B116" s="46" t="s">
        <v>203</v>
      </c>
      <c r="C116" s="47">
        <v>41000</v>
      </c>
      <c r="D116" s="14">
        <v>184</v>
      </c>
      <c r="E116" s="13">
        <v>102</v>
      </c>
      <c r="F116" s="13">
        <v>87</v>
      </c>
      <c r="G116" s="19">
        <v>0.27578999999999998</v>
      </c>
      <c r="H116" s="45">
        <f t="shared" si="51"/>
        <v>1632816</v>
      </c>
      <c r="I116" s="27" t="s">
        <v>47</v>
      </c>
      <c r="J116" s="31">
        <v>1.2</v>
      </c>
      <c r="K116" s="38">
        <f>IFERROR((VLOOKUP(I116,'DADES VOLUMS'!$A$3:$J$1005,5,FALSE))/(('CÀLCUL QUANTITATS VOLUM'!H116)*('CÀLCUL QUANTITATS VOLUM'!J116)),"")</f>
        <v>12.163495458153276</v>
      </c>
      <c r="L116" s="39">
        <f>IFERROR(G116*K116*VLOOKUP(I116,'DADES VOLUMS'!$A$3:$J$1005,6,FALSE),"")</f>
        <v>3.354570412404092</v>
      </c>
      <c r="M116" s="39">
        <f>IFERROR(IF(L116&gt;VLOOKUP(I116,'DADES VOLUMS'!$A$3:$J$1005,9,FALSE),VLOOKUP(I116,'DADES VOLUMS'!$A$3:$J$1005,9,FALSE),L116),"")</f>
        <v>0</v>
      </c>
      <c r="N116" s="40">
        <f t="shared" ref="N116" si="53">IFERROR(K116*M116/L116,"")</f>
        <v>0</v>
      </c>
      <c r="O116" s="39">
        <f>IFERROR(N116*VLOOKUP(I116,'DADES VOLUMS'!$A$3:$J$1005,6,FALSE),"")</f>
        <v>0</v>
      </c>
      <c r="P116" s="42">
        <f>IFERROR(O116*VLOOKUP(I116,'DADES VOLUMS'!$A$3:$J$1005,8,FALSE),"")</f>
        <v>0</v>
      </c>
      <c r="Q116" s="28" t="str">
        <f t="shared" si="15"/>
        <v/>
      </c>
      <c r="R116" s="29"/>
      <c r="S116" s="16"/>
      <c r="T116" s="16"/>
      <c r="U116" s="16"/>
      <c r="V116" s="79"/>
      <c r="W116" s="16"/>
    </row>
    <row r="117" spans="1:23">
      <c r="A117" s="46" t="s">
        <v>204</v>
      </c>
      <c r="B117" s="46" t="s">
        <v>203</v>
      </c>
      <c r="C117" s="47">
        <v>41000</v>
      </c>
      <c r="D117" s="14">
        <v>184</v>
      </c>
      <c r="E117" s="13">
        <v>102</v>
      </c>
      <c r="F117" s="13">
        <v>87</v>
      </c>
      <c r="G117" s="19">
        <v>0.27578999999999998</v>
      </c>
      <c r="H117" s="45">
        <f t="shared" ref="H117:H118" si="54">F117*E117*D117</f>
        <v>1632816</v>
      </c>
      <c r="I117" s="27" t="s">
        <v>133</v>
      </c>
      <c r="J117" s="31">
        <v>1.2</v>
      </c>
      <c r="K117" s="38">
        <f>IFERROR((VLOOKUP(I117,'DADES VOLUMS'!$A$3:$J$1005,5,FALSE))/(('CÀLCUL QUANTITATS VOLUM'!H117)*('CÀLCUL QUANTITATS VOLUM'!J117)),"")</f>
        <v>48.995110287993256</v>
      </c>
      <c r="L117" s="39">
        <f>IFERROR(G117*K117*VLOOKUP(I117,'DADES VOLUMS'!$A$3:$J$1005,6,FALSE),"")</f>
        <v>40.53708439897698</v>
      </c>
      <c r="M117" s="39">
        <f>IFERROR(IF(L117&gt;VLOOKUP(I117,'DADES VOLUMS'!$A$3:$J$1005,9,FALSE),VLOOKUP(I117,'DADES VOLUMS'!$A$3:$J$1005,9,FALSE),L117),"")</f>
        <v>40.53708439897698</v>
      </c>
      <c r="N117" s="40">
        <f t="shared" ref="N117" si="55">IFERROR(K117*M117/L117,"")</f>
        <v>48.995110287993256</v>
      </c>
      <c r="O117" s="39">
        <f>IFERROR(N117*VLOOKUP(I117,'DADES VOLUMS'!$A$3:$J$1005,6,FALSE),"")</f>
        <v>146.98533086397975</v>
      </c>
      <c r="P117" s="42">
        <f>IFERROR(O117*VLOOKUP(I117,'DADES VOLUMS'!$A$3:$J$1005,8,FALSE),"")</f>
        <v>587.94132345591902</v>
      </c>
      <c r="Q117" s="28">
        <f t="shared" si="15"/>
        <v>1.2913861111111112E-2</v>
      </c>
      <c r="R117" s="29"/>
      <c r="S117" s="16"/>
      <c r="T117" s="16"/>
      <c r="U117" s="16"/>
      <c r="V117" s="79"/>
      <c r="W117" s="16"/>
    </row>
    <row r="118" spans="1:23">
      <c r="A118" s="46" t="s">
        <v>205</v>
      </c>
      <c r="B118" s="46" t="s">
        <v>206</v>
      </c>
      <c r="C118" s="47">
        <v>25000000</v>
      </c>
      <c r="D118" s="14">
        <v>98</v>
      </c>
      <c r="E118" s="13">
        <v>43</v>
      </c>
      <c r="F118" s="13">
        <v>2.7</v>
      </c>
      <c r="G118" s="19">
        <v>1.3639999999999999E-2</v>
      </c>
      <c r="H118" s="45">
        <f t="shared" si="54"/>
        <v>11377.800000000001</v>
      </c>
      <c r="I118" s="27" t="s">
        <v>134</v>
      </c>
      <c r="J118" s="31">
        <v>1.2</v>
      </c>
      <c r="K118" s="38">
        <f>IFERROR((VLOOKUP(I118,'DADES VOLUMS'!$A$3:$J$1005,5,FALSE))/(('CÀLCUL QUANTITATS VOLUM'!H118)*('CÀLCUL QUANTITATS VOLUM'!J118)),"")</f>
        <v>7031.2362671166657</v>
      </c>
      <c r="L118" s="39">
        <f>IFERROR(G118*K118*VLOOKUP(I118,'DADES VOLUMS'!$A$3:$J$1005,6,FALSE),"")</f>
        <v>287.71818805041397</v>
      </c>
      <c r="M118" s="39">
        <f>IFERROR(IF(L118&gt;VLOOKUP(I118,'DADES VOLUMS'!$A$3:$J$1005,9,FALSE),VLOOKUP(I118,'DADES VOLUMS'!$A$3:$J$1005,9,FALSE),L118),"")</f>
        <v>287.71818805041397</v>
      </c>
      <c r="N118" s="40">
        <f t="shared" ref="N118" si="56">IFERROR(K118*M118/L118,"")</f>
        <v>7031.2362671166657</v>
      </c>
      <c r="O118" s="39">
        <f>IFERROR(N118*VLOOKUP(I118,'DADES VOLUMS'!$A$3:$J$1005,6,FALSE),"")</f>
        <v>21093.708801349996</v>
      </c>
      <c r="P118" s="42">
        <f>IFERROR(O118*VLOOKUP(I118,'DADES VOLUMS'!$A$3:$J$1005,8,FALSE),"")</f>
        <v>52734.272003374994</v>
      </c>
      <c r="Q118" s="28">
        <f t="shared" si="15"/>
        <v>8.7791666666666671E-2</v>
      </c>
      <c r="R118" s="29"/>
      <c r="S118" s="16"/>
      <c r="T118" s="16"/>
      <c r="U118" s="16"/>
      <c r="V118" s="79"/>
      <c r="W118" s="16"/>
    </row>
    <row r="119" spans="1:23">
      <c r="A119" s="46" t="s">
        <v>205</v>
      </c>
      <c r="B119" s="46" t="s">
        <v>207</v>
      </c>
      <c r="C119" s="47">
        <v>2097946</v>
      </c>
      <c r="D119" s="14">
        <v>73</v>
      </c>
      <c r="E119" s="13">
        <v>43</v>
      </c>
      <c r="F119" s="13">
        <v>2.7</v>
      </c>
      <c r="G119" s="19">
        <v>9.2899999999999996E-3</v>
      </c>
      <c r="H119" s="45">
        <f t="shared" ref="H119:H121" si="57">F119*E119*D119</f>
        <v>8475.3000000000011</v>
      </c>
      <c r="I119" s="27" t="s">
        <v>134</v>
      </c>
      <c r="J119" s="31">
        <v>1.2</v>
      </c>
      <c r="K119" s="38">
        <f>IFERROR((VLOOKUP(I119,'DADES VOLUMS'!$A$3:$J$1005,5,FALSE))/(('CÀLCUL QUANTITATS VOLUM'!H119)*('CÀLCUL QUANTITATS VOLUM'!J119)),"")</f>
        <v>9439.1938928415511</v>
      </c>
      <c r="L119" s="39">
        <f>IFERROR(G119*K119*VLOOKUP(I119,'DADES VOLUMS'!$A$3:$J$1005,6,FALSE),"")</f>
        <v>263.070333793494</v>
      </c>
      <c r="M119" s="39">
        <f>IFERROR(IF(L119&gt;VLOOKUP(I119,'DADES VOLUMS'!$A$3:$J$1005,9,FALSE),VLOOKUP(I119,'DADES VOLUMS'!$A$3:$J$1005,9,FALSE),L119),"")</f>
        <v>263.070333793494</v>
      </c>
      <c r="N119" s="40">
        <f t="shared" ref="N119:N122" si="58">IFERROR(K119*M119/L119,"")</f>
        <v>9439.1938928415511</v>
      </c>
      <c r="O119" s="39">
        <f>IFERROR(N119*VLOOKUP(I119,'DADES VOLUMS'!$A$3:$J$1005,6,FALSE),"")</f>
        <v>28317.581678524653</v>
      </c>
      <c r="P119" s="42">
        <f>IFERROR(O119*VLOOKUP(I119,'DADES VOLUMS'!$A$3:$J$1005,8,FALSE),"")</f>
        <v>70793.954196311635</v>
      </c>
      <c r="Q119" s="28">
        <f t="shared" si="15"/>
        <v>5.4878770783333333E-3</v>
      </c>
      <c r="R119" s="29"/>
      <c r="S119" s="16"/>
      <c r="T119" s="16"/>
      <c r="U119" s="16"/>
      <c r="V119" s="79"/>
      <c r="W119" s="16"/>
    </row>
    <row r="120" spans="1:23">
      <c r="A120" s="46" t="s">
        <v>205</v>
      </c>
      <c r="B120" s="46" t="s">
        <v>208</v>
      </c>
      <c r="C120" s="47">
        <v>1048973</v>
      </c>
      <c r="D120" s="14">
        <v>73</v>
      </c>
      <c r="E120" s="13">
        <v>46</v>
      </c>
      <c r="F120" s="13">
        <v>3</v>
      </c>
      <c r="G120" s="19">
        <v>9.0699999999999999E-3</v>
      </c>
      <c r="H120" s="45">
        <f t="shared" si="57"/>
        <v>10074</v>
      </c>
      <c r="I120" s="27" t="s">
        <v>134</v>
      </c>
      <c r="J120" s="31">
        <v>1.2</v>
      </c>
      <c r="K120" s="38">
        <f>IFERROR((VLOOKUP(I120,'DADES VOLUMS'!$A$3:$J$1005,5,FALSE))/(('CÀLCUL QUANTITATS VOLUM'!H120)*('CÀLCUL QUANTITATS VOLUM'!J120)),"")</f>
        <v>7941.234862021045</v>
      </c>
      <c r="L120" s="39">
        <f>IFERROR(G120*K120*VLOOKUP(I120,'DADES VOLUMS'!$A$3:$J$1005,6,FALSE),"")</f>
        <v>216.08100059559263</v>
      </c>
      <c r="M120" s="39">
        <f>IFERROR(IF(L120&gt;VLOOKUP(I120,'DADES VOLUMS'!$A$3:$J$1005,9,FALSE),VLOOKUP(I120,'DADES VOLUMS'!$A$3:$J$1005,9,FALSE),L120),"")</f>
        <v>216.08100059559263</v>
      </c>
      <c r="N120" s="40">
        <f t="shared" si="58"/>
        <v>7941.234862021045</v>
      </c>
      <c r="O120" s="39">
        <f>IFERROR(N120*VLOOKUP(I120,'DADES VOLUMS'!$A$3:$J$1005,6,FALSE),"")</f>
        <v>23823.704586063133</v>
      </c>
      <c r="P120" s="42">
        <f>IFERROR(O120*VLOOKUP(I120,'DADES VOLUMS'!$A$3:$J$1005,8,FALSE),"")</f>
        <v>59559.261465157833</v>
      </c>
      <c r="Q120" s="28">
        <f t="shared" si="15"/>
        <v>3.2615290129629632E-3</v>
      </c>
      <c r="R120" s="29"/>
      <c r="S120" s="16"/>
      <c r="T120" s="16"/>
      <c r="U120" s="16"/>
      <c r="V120" s="79"/>
      <c r="W120" s="16"/>
    </row>
    <row r="121" spans="1:23">
      <c r="A121" s="46" t="s">
        <v>205</v>
      </c>
      <c r="B121" s="46" t="s">
        <v>209</v>
      </c>
      <c r="C121" s="47">
        <v>1048973</v>
      </c>
      <c r="D121" s="14">
        <v>73</v>
      </c>
      <c r="E121" s="13">
        <v>46</v>
      </c>
      <c r="F121" s="13">
        <v>3</v>
      </c>
      <c r="G121" s="19">
        <v>9.0699999999999999E-3</v>
      </c>
      <c r="H121" s="45">
        <f t="shared" si="57"/>
        <v>10074</v>
      </c>
      <c r="I121" s="27" t="s">
        <v>134</v>
      </c>
      <c r="J121" s="31">
        <v>1.2</v>
      </c>
      <c r="K121" s="38">
        <f>IFERROR((VLOOKUP(I121,'DADES VOLUMS'!$A$3:$J$1005,5,FALSE))/(('CÀLCUL QUANTITATS VOLUM'!H121)*('CÀLCUL QUANTITATS VOLUM'!J121)),"")</f>
        <v>7941.234862021045</v>
      </c>
      <c r="L121" s="39">
        <f>IFERROR(G121*K121*VLOOKUP(I121,'DADES VOLUMS'!$A$3:$J$1005,6,FALSE),"")</f>
        <v>216.08100059559263</v>
      </c>
      <c r="M121" s="39">
        <f>IFERROR(IF(L121&gt;VLOOKUP(I121,'DADES VOLUMS'!$A$3:$J$1005,9,FALSE),VLOOKUP(I121,'DADES VOLUMS'!$A$3:$J$1005,9,FALSE),L121),"")</f>
        <v>216.08100059559263</v>
      </c>
      <c r="N121" s="40">
        <f t="shared" si="58"/>
        <v>7941.234862021045</v>
      </c>
      <c r="O121" s="39">
        <f>IFERROR(N121*VLOOKUP(I121,'DADES VOLUMS'!$A$3:$J$1005,6,FALSE),"")</f>
        <v>23823.704586063133</v>
      </c>
      <c r="P121" s="42">
        <f>IFERROR(O121*VLOOKUP(I121,'DADES VOLUMS'!$A$3:$J$1005,8,FALSE),"")</f>
        <v>59559.261465157833</v>
      </c>
      <c r="Q121" s="28">
        <f t="shared" si="15"/>
        <v>3.2615290129629632E-3</v>
      </c>
      <c r="R121" s="29"/>
      <c r="S121" s="16"/>
      <c r="T121" s="16"/>
      <c r="U121" s="16"/>
      <c r="V121" s="79"/>
      <c r="W121" s="16"/>
    </row>
    <row r="122" spans="1:23">
      <c r="A122" s="46" t="s">
        <v>205</v>
      </c>
      <c r="B122" s="46" t="s">
        <v>210</v>
      </c>
      <c r="C122" s="47">
        <v>1048973</v>
      </c>
      <c r="D122" s="14">
        <v>73</v>
      </c>
      <c r="E122" s="13">
        <v>45</v>
      </c>
      <c r="F122" s="13">
        <v>21</v>
      </c>
      <c r="G122" s="19">
        <v>4.3830000000000001E-2</v>
      </c>
      <c r="H122" s="45">
        <f>F122*E122*D122</f>
        <v>68985</v>
      </c>
      <c r="I122" s="27" t="s">
        <v>134</v>
      </c>
      <c r="J122" s="31">
        <v>1.2</v>
      </c>
      <c r="K122" s="38">
        <f>IFERROR((VLOOKUP(I122,'DADES VOLUMS'!$A$3:$J$1005,5,FALSE))/(('CÀLCUL QUANTITATS VOLUM'!H122)*('CÀLCUL QUANTITATS VOLUM'!J122)),"")</f>
        <v>1159.6723925491049</v>
      </c>
      <c r="L122" s="39">
        <f>IFERROR(G122*K122*VLOOKUP(I122,'DADES VOLUMS'!$A$3:$J$1005,6,FALSE),"")</f>
        <v>152.48532289628182</v>
      </c>
      <c r="M122" s="39">
        <f>IFERROR(IF(L122&gt;VLOOKUP(I122,'DADES VOLUMS'!$A$3:$J$1005,9,FALSE),VLOOKUP(I122,'DADES VOLUMS'!$A$3:$J$1005,9,FALSE),L122),"")</f>
        <v>152.48532289628182</v>
      </c>
      <c r="N122" s="40">
        <f t="shared" si="58"/>
        <v>1159.6723925491049</v>
      </c>
      <c r="O122" s="39">
        <f>IFERROR(N122*VLOOKUP(I122,'DADES VOLUMS'!$A$3:$J$1005,6,FALSE),"")</f>
        <v>3479.0171776473144</v>
      </c>
      <c r="P122" s="42">
        <f>IFERROR(O122*VLOOKUP(I122,'DADES VOLUMS'!$A$3:$J$1005,8,FALSE),"")</f>
        <v>8697.542944118286</v>
      </c>
      <c r="Q122" s="28">
        <f t="shared" si="15"/>
        <v>2.2334383458333336E-2</v>
      </c>
      <c r="R122" s="29"/>
      <c r="S122" s="16"/>
      <c r="T122" s="16"/>
      <c r="U122" s="16"/>
      <c r="V122" s="79"/>
      <c r="W122" s="16"/>
    </row>
    <row r="123" spans="1:23">
      <c r="A123" s="46" t="s">
        <v>205</v>
      </c>
      <c r="B123" s="46" t="s">
        <v>211</v>
      </c>
      <c r="C123" s="47">
        <v>1048973</v>
      </c>
      <c r="D123" s="14">
        <v>73</v>
      </c>
      <c r="E123" s="13">
        <v>25</v>
      </c>
      <c r="F123" s="13">
        <v>21</v>
      </c>
      <c r="G123" s="19">
        <v>3.5889999999999998E-2</v>
      </c>
      <c r="H123" s="45">
        <f t="shared" ref="H123:H126" si="59">F123*E123*D123</f>
        <v>38325</v>
      </c>
      <c r="I123" s="27" t="s">
        <v>134</v>
      </c>
      <c r="J123" s="31">
        <v>1.2</v>
      </c>
      <c r="K123" s="38">
        <f>IFERROR((VLOOKUP(I123,'DADES VOLUMS'!$A$3:$J$1005,5,FALSE))/(('CÀLCUL QUANTITATS VOLUM'!H123)*('CÀLCUL QUANTITATS VOLUM'!J123)),"")</f>
        <v>2087.4103065883887</v>
      </c>
      <c r="L123" s="39">
        <f>IFERROR(G123*K123*VLOOKUP(I123,'DADES VOLUMS'!$A$3:$J$1005,6,FALSE),"")</f>
        <v>224.7514677103718</v>
      </c>
      <c r="M123" s="39">
        <f>IFERROR(IF(L123&gt;VLOOKUP(I123,'DADES VOLUMS'!$A$3:$J$1005,9,FALSE),VLOOKUP(I123,'DADES VOLUMS'!$A$3:$J$1005,9,FALSE),L123),"")</f>
        <v>224.7514677103718</v>
      </c>
      <c r="N123" s="40">
        <f t="shared" ref="N123:N124" si="60">IFERROR(K123*M123/L123,"")</f>
        <v>2087.4103065883887</v>
      </c>
      <c r="O123" s="39">
        <f>IFERROR(N123*VLOOKUP(I123,'DADES VOLUMS'!$A$3:$J$1005,6,FALSE),"")</f>
        <v>6262.2309197651666</v>
      </c>
      <c r="P123" s="42">
        <f>IFERROR(O123*VLOOKUP(I123,'DADES VOLUMS'!$A$3:$J$1005,8,FALSE),"")</f>
        <v>15655.577299412917</v>
      </c>
      <c r="Q123" s="28">
        <f t="shared" si="15"/>
        <v>1.2407990810185184E-2</v>
      </c>
      <c r="R123" s="29"/>
      <c r="S123" s="16"/>
      <c r="T123" s="16"/>
      <c r="U123" s="16"/>
      <c r="V123" s="79"/>
      <c r="W123" s="16"/>
    </row>
    <row r="124" spans="1:23">
      <c r="A124" s="46" t="s">
        <v>205</v>
      </c>
      <c r="B124" s="46" t="s">
        <v>212</v>
      </c>
      <c r="C124" s="47">
        <v>2097946</v>
      </c>
      <c r="D124" s="14">
        <v>45</v>
      </c>
      <c r="E124" s="13">
        <v>35</v>
      </c>
      <c r="F124" s="13">
        <v>15</v>
      </c>
      <c r="G124" s="19">
        <v>2.828E-2</v>
      </c>
      <c r="H124" s="45">
        <f t="shared" si="59"/>
        <v>23625</v>
      </c>
      <c r="I124" s="27" t="s">
        <v>134</v>
      </c>
      <c r="J124" s="31">
        <v>1.2</v>
      </c>
      <c r="K124" s="38">
        <f>IFERROR((VLOOKUP(I124,'DADES VOLUMS'!$A$3:$J$1005,5,FALSE))/(('CÀLCUL QUANTITATS VOLUM'!H124)*('CÀLCUL QUANTITATS VOLUM'!J124)),"")</f>
        <v>3386.2433862433863</v>
      </c>
      <c r="L124" s="39">
        <f>IFERROR(G124*K124*VLOOKUP(I124,'DADES VOLUMS'!$A$3:$J$1005,6,FALSE),"")</f>
        <v>287.28888888888889</v>
      </c>
      <c r="M124" s="39">
        <f>IFERROR(IF(L124&gt;VLOOKUP(I124,'DADES VOLUMS'!$A$3:$J$1005,9,FALSE),VLOOKUP(I124,'DADES VOLUMS'!$A$3:$J$1005,9,FALSE),L124),"")</f>
        <v>287.28888888888889</v>
      </c>
      <c r="N124" s="40">
        <f t="shared" si="60"/>
        <v>3386.2433862433863</v>
      </c>
      <c r="O124" s="39">
        <f>IFERROR(N124*VLOOKUP(I124,'DADES VOLUMS'!$A$3:$J$1005,6,FALSE),"")</f>
        <v>10158.730158730159</v>
      </c>
      <c r="P124" s="42">
        <f>IFERROR(O124*VLOOKUP(I124,'DADES VOLUMS'!$A$3:$J$1005,8,FALSE),"")</f>
        <v>25396.825396825399</v>
      </c>
      <c r="Q124" s="28">
        <f t="shared" si="15"/>
        <v>1.5297522916666665E-2</v>
      </c>
      <c r="R124" s="29"/>
      <c r="S124" s="16"/>
      <c r="T124" s="16"/>
      <c r="U124" s="16"/>
      <c r="V124" s="79"/>
      <c r="W124" s="16"/>
    </row>
    <row r="125" spans="1:23">
      <c r="A125" s="46" t="s">
        <v>222</v>
      </c>
      <c r="B125" s="46" t="s">
        <v>223</v>
      </c>
      <c r="C125" s="47">
        <v>138500</v>
      </c>
      <c r="D125" s="14">
        <v>149</v>
      </c>
      <c r="E125" s="13">
        <v>56</v>
      </c>
      <c r="F125" s="13">
        <v>36</v>
      </c>
      <c r="G125" s="19">
        <v>0.25054999999999999</v>
      </c>
      <c r="H125" s="45">
        <f t="shared" si="59"/>
        <v>300384</v>
      </c>
      <c r="I125" s="27" t="s">
        <v>46</v>
      </c>
      <c r="J125" s="31">
        <v>1.2</v>
      </c>
      <c r="K125" s="38">
        <f>IFERROR((VLOOKUP(I125,'DADES VOLUMS'!$A$3:$J$1005,5,FALSE))/(('CÀLCUL QUANTITATS VOLUM'!H125)*('CÀLCUL QUANTITATS VOLUM'!J125)),"")</f>
        <v>45.660304809843403</v>
      </c>
      <c r="L125" s="39">
        <f>IFERROR(G125*K125*VLOOKUP(I125,'DADES VOLUMS'!$A$3:$J$1005,6,FALSE),"")</f>
        <v>11.440189370106264</v>
      </c>
      <c r="M125" s="39">
        <f>IFERROR(IF(L125&gt;VLOOKUP(I125,'DADES VOLUMS'!$A$3:$J$1005,9,FALSE),VLOOKUP(I125,'DADES VOLUMS'!$A$3:$J$1005,9,FALSE),L125),"")</f>
        <v>0</v>
      </c>
      <c r="N125" s="40">
        <f t="shared" ref="N125" si="61">IFERROR(K125*M125/L125,"")</f>
        <v>0</v>
      </c>
      <c r="O125" s="39">
        <f>IFERROR(N125*VLOOKUP(I125,'DADES VOLUMS'!$A$3:$J$1005,6,FALSE),"")</f>
        <v>0</v>
      </c>
      <c r="P125" s="42">
        <f>IFERROR(O125*VLOOKUP(I125,'DADES VOLUMS'!$A$3:$J$1005,8,FALSE),"")</f>
        <v>0</v>
      </c>
      <c r="Q125" s="28" t="str">
        <f t="shared" ref="Q125:Q126" si="62">IFERROR(C125/P125/5400,"")</f>
        <v/>
      </c>
      <c r="R125" s="29"/>
      <c r="S125" s="16"/>
      <c r="T125" s="16"/>
      <c r="U125" s="16"/>
      <c r="V125" s="79"/>
      <c r="W125" s="16"/>
    </row>
    <row r="126" spans="1:23">
      <c r="A126" s="46" t="s">
        <v>224</v>
      </c>
      <c r="B126" s="46" t="s">
        <v>225</v>
      </c>
      <c r="C126" s="47">
        <v>24600</v>
      </c>
      <c r="D126" s="14">
        <v>186</v>
      </c>
      <c r="E126" s="13">
        <v>98</v>
      </c>
      <c r="F126" s="13">
        <v>36</v>
      </c>
      <c r="G126" s="19">
        <v>0.1153</v>
      </c>
      <c r="H126" s="45">
        <f t="shared" si="59"/>
        <v>656208</v>
      </c>
      <c r="I126" s="27" t="s">
        <v>40</v>
      </c>
      <c r="J126" s="31">
        <v>1.2</v>
      </c>
      <c r="K126" s="38">
        <f>IFERROR((VLOOKUP(I126,'DADES VOLUMS'!$A$3:$J$1005,5,FALSE))/(('CÀLCUL QUANTITATS VOLUM'!H126)*('CÀLCUL QUANTITATS VOLUM'!J126)),"")</f>
        <v>20.901337685611878</v>
      </c>
      <c r="L126" s="39">
        <f>IFERROR(G126*K126*VLOOKUP(I126,'DADES VOLUMS'!$A$3:$J$1005,6,FALSE),"")</f>
        <v>2.4099242351510495</v>
      </c>
      <c r="M126" s="39">
        <f>IFERROR(IF(L126&gt;VLOOKUP(I126,'DADES VOLUMS'!$A$3:$J$1005,9,FALSE),VLOOKUP(I126,'DADES VOLUMS'!$A$3:$J$1005,9,FALSE),L126),"")</f>
        <v>0</v>
      </c>
      <c r="N126" s="40">
        <f t="shared" ref="N126" si="63">IFERROR(K126*M126/L126,"")</f>
        <v>0</v>
      </c>
      <c r="O126" s="39">
        <f>IFERROR(N126*VLOOKUP(I126,'DADES VOLUMS'!$A$3:$J$1005,6,FALSE),"")</f>
        <v>0</v>
      </c>
      <c r="P126" s="42">
        <f>IFERROR(O126*VLOOKUP(I126,'DADES VOLUMS'!$A$3:$J$1005,8,FALSE),"")</f>
        <v>0</v>
      </c>
      <c r="Q126" s="28" t="str">
        <f t="shared" si="62"/>
        <v/>
      </c>
      <c r="R126" s="29"/>
      <c r="S126" s="16"/>
      <c r="T126" s="16"/>
      <c r="U126" s="16"/>
      <c r="V126" s="79"/>
      <c r="W126" s="16"/>
    </row>
    <row r="127" spans="1:23">
      <c r="A127" s="46" t="s">
        <v>224</v>
      </c>
      <c r="B127" s="46" t="s">
        <v>225</v>
      </c>
      <c r="C127" s="47">
        <v>24600</v>
      </c>
      <c r="D127" s="14">
        <v>186</v>
      </c>
      <c r="E127" s="13">
        <v>98</v>
      </c>
      <c r="F127" s="13">
        <v>36</v>
      </c>
      <c r="G127" s="19">
        <v>0.1153</v>
      </c>
      <c r="H127" s="45">
        <f t="shared" ref="H127:H134" si="64">F127*E127*D127</f>
        <v>656208</v>
      </c>
      <c r="I127" s="27" t="s">
        <v>131</v>
      </c>
      <c r="J127" s="31">
        <v>1</v>
      </c>
      <c r="K127" s="38">
        <f>IFERROR((VLOOKUP(I127,'DADES VOLUMS'!$A$3:$J$1005,5,FALSE))/(('CÀLCUL QUANTITATS VOLUM'!H127)*('CÀLCUL QUANTITATS VOLUM'!J127)),"")</f>
        <v>274.30326969497474</v>
      </c>
      <c r="L127" s="39">
        <f>IFERROR(G127*K127*VLOOKUP(I127,'DADES VOLUMS'!$A$3:$J$1005,6,FALSE),"")</f>
        <v>31.627166995830589</v>
      </c>
      <c r="M127" s="39">
        <f>IFERROR(IF(L127&gt;VLOOKUP(I127,'DADES VOLUMS'!$A$3:$J$1005,9,FALSE),VLOOKUP(I127,'DADES VOLUMS'!$A$3:$J$1005,9,FALSE),L127),"")</f>
        <v>31.627166995830589</v>
      </c>
      <c r="N127" s="40">
        <f t="shared" ref="N127" si="65">IFERROR(K127*M127/L127,"")</f>
        <v>274.30326969497474</v>
      </c>
      <c r="O127" s="39">
        <f>IFERROR(N127*VLOOKUP(I127,'DADES VOLUMS'!$A$3:$J$1005,6,FALSE),"")</f>
        <v>274.30326969497474</v>
      </c>
      <c r="P127" s="42">
        <f>IFERROR(O127*VLOOKUP(I127,'DADES VOLUMS'!$A$3:$J$1005,8,FALSE),"")</f>
        <v>1371.5163484748737</v>
      </c>
      <c r="Q127" s="28">
        <f t="shared" ref="Q127" si="66">IFERROR(C127/P127/5400,"")</f>
        <v>3.3215466666666671E-3</v>
      </c>
      <c r="R127" s="29"/>
      <c r="S127" s="16"/>
      <c r="T127" s="16"/>
      <c r="U127" s="16"/>
      <c r="V127" s="79"/>
      <c r="W127" s="16"/>
    </row>
    <row r="128" spans="1:23">
      <c r="A128" s="46" t="s">
        <v>231</v>
      </c>
      <c r="B128" s="46" t="s">
        <v>232</v>
      </c>
      <c r="C128" s="47">
        <v>246000</v>
      </c>
      <c r="D128" s="14">
        <v>371</v>
      </c>
      <c r="E128" s="13">
        <v>79</v>
      </c>
      <c r="F128" s="13">
        <v>45</v>
      </c>
      <c r="G128" s="19">
        <v>0.17623</v>
      </c>
      <c r="H128" s="45">
        <f t="shared" si="64"/>
        <v>1318905</v>
      </c>
      <c r="I128" s="27" t="s">
        <v>47</v>
      </c>
      <c r="J128" s="31">
        <v>0.75</v>
      </c>
      <c r="K128" s="38">
        <f>IFERROR((VLOOKUP(I128,'DADES VOLUMS'!$A$3:$J$1005,5,FALSE))/(('CÀLCUL QUANTITATS VOLUM'!H128)*('CÀLCUL QUANTITATS VOLUM'!J128)),"")</f>
        <v>24.09362311917841</v>
      </c>
      <c r="L128" s="39">
        <f>IFERROR(G128*K128*VLOOKUP(I128,'DADES VOLUMS'!$A$3:$J$1005,6,FALSE),"")</f>
        <v>4.2460192022928114</v>
      </c>
      <c r="M128" s="39">
        <f>IFERROR(IF(L128&gt;VLOOKUP(I128,'DADES VOLUMS'!$A$3:$J$1005,9,FALSE),VLOOKUP(I128,'DADES VOLUMS'!$A$3:$J$1005,9,FALSE),L128),"")</f>
        <v>0</v>
      </c>
      <c r="N128" s="40">
        <f t="shared" ref="N128" si="67">IFERROR(K128*M128/L128,"")</f>
        <v>0</v>
      </c>
      <c r="O128" s="39">
        <f>IFERROR(N128*VLOOKUP(I128,'DADES VOLUMS'!$A$3:$J$1005,6,FALSE),"")</f>
        <v>0</v>
      </c>
      <c r="P128" s="42">
        <f>IFERROR(O128*VLOOKUP(I128,'DADES VOLUMS'!$A$3:$J$1005,8,FALSE),"")</f>
        <v>0</v>
      </c>
      <c r="Q128" s="28" t="str">
        <f t="shared" ref="Q128" si="68">IFERROR(C128/P128/5400,"")</f>
        <v/>
      </c>
      <c r="R128" s="29"/>
      <c r="S128" s="16"/>
      <c r="T128" s="16"/>
      <c r="U128" s="16"/>
      <c r="V128" s="79"/>
      <c r="W128" s="16"/>
    </row>
    <row r="129" spans="1:23">
      <c r="A129" s="46" t="s">
        <v>231</v>
      </c>
      <c r="B129" s="46" t="s">
        <v>232</v>
      </c>
      <c r="C129" s="47">
        <v>246000</v>
      </c>
      <c r="D129" s="14">
        <v>371</v>
      </c>
      <c r="E129" s="13">
        <v>79</v>
      </c>
      <c r="F129" s="13">
        <v>45</v>
      </c>
      <c r="G129" s="19">
        <v>0.17623</v>
      </c>
      <c r="H129" s="45">
        <f t="shared" ref="H129" si="69">F129*E129*D129</f>
        <v>1318905</v>
      </c>
      <c r="I129" s="27" t="s">
        <v>131</v>
      </c>
      <c r="J129" s="31">
        <v>0.75</v>
      </c>
      <c r="K129" s="38">
        <f>IFERROR((VLOOKUP(I129,'DADES VOLUMS'!$A$3:$J$1005,5,FALSE))/(('CÀLCUL QUANTITATS VOLUM'!H129)*('CÀLCUL QUANTITATS VOLUM'!J129)),"")</f>
        <v>181.96913348573247</v>
      </c>
      <c r="L129" s="39">
        <f>IFERROR(G129*K129*VLOOKUP(I129,'DADES VOLUMS'!$A$3:$J$1005,6,FALSE),"")</f>
        <v>32.068420394190632</v>
      </c>
      <c r="M129" s="39">
        <f>IFERROR(IF(L129&gt;VLOOKUP(I129,'DADES VOLUMS'!$A$3:$J$1005,9,FALSE),VLOOKUP(I129,'DADES VOLUMS'!$A$3:$J$1005,9,FALSE),L129),"")</f>
        <v>32.068420394190632</v>
      </c>
      <c r="N129" s="40">
        <f t="shared" ref="N129" si="70">IFERROR(K129*M129/L129,"")</f>
        <v>181.96913348573247</v>
      </c>
      <c r="O129" s="39">
        <f>IFERROR(N129*VLOOKUP(I129,'DADES VOLUMS'!$A$3:$J$1005,6,FALSE),"")</f>
        <v>181.96913348573247</v>
      </c>
      <c r="P129" s="42">
        <f>IFERROR(O129*VLOOKUP(I129,'DADES VOLUMS'!$A$3:$J$1005,8,FALSE),"")</f>
        <v>909.84566742866241</v>
      </c>
      <c r="Q129" s="28">
        <f t="shared" ref="Q129" si="71">IFERROR(C129/P129/5400,"")</f>
        <v>5.0069541666666662E-2</v>
      </c>
      <c r="R129" s="29"/>
      <c r="S129" s="16"/>
      <c r="T129" s="16"/>
      <c r="U129" s="16"/>
      <c r="V129" s="79"/>
      <c r="W129" s="16"/>
    </row>
    <row r="130" spans="1:23">
      <c r="A130" s="46" t="s">
        <v>233</v>
      </c>
      <c r="B130" s="46" t="s">
        <v>232</v>
      </c>
      <c r="C130" s="47">
        <v>246000</v>
      </c>
      <c r="D130" s="14">
        <v>223</v>
      </c>
      <c r="E130" s="13">
        <v>79</v>
      </c>
      <c r="F130" s="13">
        <v>45</v>
      </c>
      <c r="G130" s="19">
        <v>0.17623</v>
      </c>
      <c r="H130" s="45">
        <f t="shared" ref="H130" si="72">F130*E130*D130</f>
        <v>792765</v>
      </c>
      <c r="I130" s="27" t="s">
        <v>131</v>
      </c>
      <c r="J130" s="31">
        <v>0.75</v>
      </c>
      <c r="K130" s="38">
        <f>IFERROR((VLOOKUP(I130,'DADES VOLUMS'!$A$3:$J$1005,5,FALSE))/(('CÀLCUL QUANTITATS VOLUM'!H130)*('CÀLCUL QUANTITATS VOLUM'!J130)),"")</f>
        <v>302.73788575429035</v>
      </c>
      <c r="L130" s="39">
        <f>IFERROR(G130*K130*VLOOKUP(I130,'DADES VOLUMS'!$A$3:$J$1005,6,FALSE),"")</f>
        <v>53.351497606478588</v>
      </c>
      <c r="M130" s="39">
        <f>IFERROR(IF(L130&gt;VLOOKUP(I130,'DADES VOLUMS'!$A$3:$J$1005,9,FALSE),VLOOKUP(I130,'DADES VOLUMS'!$A$3:$J$1005,9,FALSE),L130),"")</f>
        <v>53.351497606478588</v>
      </c>
      <c r="N130" s="40">
        <f t="shared" ref="N130" si="73">IFERROR(K130*M130/L130,"")</f>
        <v>302.73788575429035</v>
      </c>
      <c r="O130" s="39">
        <f>IFERROR(N130*VLOOKUP(I130,'DADES VOLUMS'!$A$3:$J$1005,6,FALSE),"")</f>
        <v>302.73788575429035</v>
      </c>
      <c r="P130" s="42">
        <f>IFERROR(O130*VLOOKUP(I130,'DADES VOLUMS'!$A$3:$J$1005,8,FALSE),"")</f>
        <v>1513.6894287714517</v>
      </c>
      <c r="Q130" s="28">
        <f t="shared" ref="Q130" si="74">IFERROR(C130/P130/5400,"")</f>
        <v>3.0095708333333335E-2</v>
      </c>
      <c r="R130" s="29"/>
      <c r="S130" s="16"/>
      <c r="T130" s="16"/>
      <c r="U130" s="16"/>
      <c r="V130" s="79"/>
      <c r="W130" s="16"/>
    </row>
    <row r="131" spans="1:23">
      <c r="A131" s="46" t="s">
        <v>226</v>
      </c>
      <c r="B131" s="46" t="s">
        <v>227</v>
      </c>
      <c r="C131" s="47">
        <v>90000</v>
      </c>
      <c r="D131" s="14">
        <v>177</v>
      </c>
      <c r="E131" s="13">
        <v>79</v>
      </c>
      <c r="F131" s="13">
        <v>33</v>
      </c>
      <c r="G131" s="19">
        <v>0.11667</v>
      </c>
      <c r="H131" s="45">
        <f t="shared" si="64"/>
        <v>461439</v>
      </c>
      <c r="I131" s="27" t="s">
        <v>131</v>
      </c>
      <c r="J131" s="31">
        <v>1</v>
      </c>
      <c r="K131" s="38">
        <f>IFERROR((VLOOKUP(I131,'DADES VOLUMS'!$A$3:$J$1005,5,FALSE))/(('CÀLCUL QUANTITATS VOLUM'!H131)*('CÀLCUL QUANTITATS VOLUM'!J131)),"")</f>
        <v>390.0840631156014</v>
      </c>
      <c r="L131" s="39">
        <f>IFERROR(G131*K131*VLOOKUP(I131,'DADES VOLUMS'!$A$3:$J$1005,6,FALSE),"")</f>
        <v>45.511107643697216</v>
      </c>
      <c r="M131" s="39">
        <f>IFERROR(IF(L131&gt;VLOOKUP(I131,'DADES VOLUMS'!$A$3:$J$1005,9,FALSE),VLOOKUP(I131,'DADES VOLUMS'!$A$3:$J$1005,9,FALSE),L131),"")</f>
        <v>45.511107643697216</v>
      </c>
      <c r="N131" s="40">
        <f t="shared" ref="N131" si="75">IFERROR(K131*M131/L131,"")</f>
        <v>390.0840631156014</v>
      </c>
      <c r="O131" s="39">
        <f>IFERROR(N131*VLOOKUP(I131,'DADES VOLUMS'!$A$3:$J$1005,6,FALSE),"")</f>
        <v>390.0840631156014</v>
      </c>
      <c r="P131" s="42">
        <f>IFERROR(O131*VLOOKUP(I131,'DADES VOLUMS'!$A$3:$J$1005,8,FALSE),"")</f>
        <v>1950.4203155780069</v>
      </c>
      <c r="Q131" s="28">
        <f t="shared" ref="Q131" si="76">IFERROR(C131/P131/5400,"")</f>
        <v>8.5451666666666679E-3</v>
      </c>
      <c r="R131" s="29"/>
      <c r="S131" s="16"/>
      <c r="T131" s="16"/>
      <c r="U131" s="16"/>
      <c r="V131" s="79"/>
      <c r="W131" s="16"/>
    </row>
    <row r="132" spans="1:23">
      <c r="A132" s="46" t="s">
        <v>234</v>
      </c>
      <c r="B132" s="46" t="s">
        <v>235</v>
      </c>
      <c r="C132" s="47">
        <v>230000</v>
      </c>
      <c r="D132" s="14">
        <v>118</v>
      </c>
      <c r="E132" s="13">
        <v>94</v>
      </c>
      <c r="F132" s="13">
        <v>16</v>
      </c>
      <c r="G132" s="19">
        <v>7.5889999999999999E-2</v>
      </c>
      <c r="H132" s="45">
        <f t="shared" si="64"/>
        <v>177472</v>
      </c>
      <c r="I132" s="27" t="s">
        <v>131</v>
      </c>
      <c r="J132" s="31">
        <v>1.2</v>
      </c>
      <c r="K132" s="38">
        <f>IFERROR((VLOOKUP(I132,'DADES VOLUMS'!$A$3:$J$1005,5,FALSE))/(('CÀLCUL QUANTITATS VOLUM'!H132)*('CÀLCUL QUANTITATS VOLUM'!J132)),"")</f>
        <v>845.20375045077537</v>
      </c>
      <c r="L132" s="39">
        <f>IFERROR(G132*K132*VLOOKUP(I132,'DADES VOLUMS'!$A$3:$J$1005,6,FALSE),"")</f>
        <v>64.142512621709344</v>
      </c>
      <c r="M132" s="39">
        <f>IFERROR(IF(L132&gt;VLOOKUP(I132,'DADES VOLUMS'!$A$3:$J$1005,9,FALSE),VLOOKUP(I132,'DADES VOLUMS'!$A$3:$J$1005,9,FALSE),L132),"")</f>
        <v>64.142512621709344</v>
      </c>
      <c r="N132" s="40">
        <f t="shared" ref="N132" si="77">IFERROR(K132*M132/L132,"")</f>
        <v>845.20375045077537</v>
      </c>
      <c r="O132" s="39">
        <f>IFERROR(N132*VLOOKUP(I132,'DADES VOLUMS'!$A$3:$J$1005,6,FALSE),"")</f>
        <v>845.20375045077537</v>
      </c>
      <c r="P132" s="42">
        <f>IFERROR(O132*VLOOKUP(I132,'DADES VOLUMS'!$A$3:$J$1005,8,FALSE),"")</f>
        <v>4226.0187522538772</v>
      </c>
      <c r="Q132" s="28">
        <f t="shared" ref="Q132" si="78">IFERROR(C132/P132/5400,"")</f>
        <v>1.0078656790123455E-2</v>
      </c>
      <c r="R132" s="29"/>
      <c r="S132" s="16"/>
      <c r="T132" s="16"/>
      <c r="U132" s="16"/>
      <c r="V132" s="79"/>
      <c r="W132" s="16"/>
    </row>
    <row r="133" spans="1:23">
      <c r="A133" s="46" t="s">
        <v>240</v>
      </c>
      <c r="B133" s="46" t="s">
        <v>241</v>
      </c>
      <c r="C133" s="47">
        <v>500000</v>
      </c>
      <c r="D133" s="14">
        <v>81</v>
      </c>
      <c r="E133" s="13">
        <v>81</v>
      </c>
      <c r="F133" s="13">
        <v>31</v>
      </c>
      <c r="G133" s="19">
        <v>7.4310000000000001E-2</v>
      </c>
      <c r="H133" s="45">
        <f t="shared" si="64"/>
        <v>203391</v>
      </c>
      <c r="I133" s="27" t="s">
        <v>131</v>
      </c>
      <c r="J133" s="31">
        <v>1.2</v>
      </c>
      <c r="K133" s="38">
        <f>IFERROR((VLOOKUP(I133,'DADES VOLUMS'!$A$3:$J$1005,5,FALSE))/(('CÀLCUL QUANTITATS VOLUM'!H133)*('CÀLCUL QUANTITATS VOLUM'!J133)),"")</f>
        <v>737.49575939938347</v>
      </c>
      <c r="L133" s="39">
        <f>IFERROR(G133*K133*VLOOKUP(I133,'DADES VOLUMS'!$A$3:$J$1005,6,FALSE),"")</f>
        <v>54.803309880968186</v>
      </c>
      <c r="M133" s="39">
        <f>IFERROR(IF(L133&gt;VLOOKUP(I133,'DADES VOLUMS'!$A$3:$J$1005,9,FALSE),VLOOKUP(I133,'DADES VOLUMS'!$A$3:$J$1005,9,FALSE),L133),"")</f>
        <v>54.803309880968186</v>
      </c>
      <c r="N133" s="40">
        <f t="shared" ref="N133" si="79">IFERROR(K133*M133/L133,"")</f>
        <v>737.49575939938347</v>
      </c>
      <c r="O133" s="39">
        <f>IFERROR(N133*VLOOKUP(I133,'DADES VOLUMS'!$A$3:$J$1005,6,FALSE),"")</f>
        <v>737.49575939938347</v>
      </c>
      <c r="P133" s="42">
        <f>IFERROR(O133*VLOOKUP(I133,'DADES VOLUMS'!$A$3:$J$1005,8,FALSE),"")</f>
        <v>3687.4787969969175</v>
      </c>
      <c r="Q133" s="28">
        <f t="shared" ref="Q133" si="80">IFERROR(C133/P133/5400,"")</f>
        <v>2.511E-2</v>
      </c>
      <c r="R133" s="29"/>
      <c r="S133" s="16"/>
      <c r="T133" s="16"/>
      <c r="U133" s="16"/>
      <c r="V133" s="79"/>
      <c r="W133" s="16"/>
    </row>
    <row r="134" spans="1:23">
      <c r="A134" s="46" t="s">
        <v>228</v>
      </c>
      <c r="B134" s="46" t="s">
        <v>229</v>
      </c>
      <c r="C134" s="47">
        <v>222713</v>
      </c>
      <c r="D134" s="14">
        <v>137</v>
      </c>
      <c r="E134" s="13">
        <v>98</v>
      </c>
      <c r="F134" s="13">
        <v>8</v>
      </c>
      <c r="G134" s="19">
        <v>9.6689999999999998E-2</v>
      </c>
      <c r="H134" s="45">
        <f t="shared" si="64"/>
        <v>107408</v>
      </c>
      <c r="I134" s="27" t="s">
        <v>134</v>
      </c>
      <c r="J134" s="31">
        <v>2.25</v>
      </c>
      <c r="K134" s="38">
        <f>IFERROR((VLOOKUP(I134,'DADES VOLUMS'!$A$3:$J$1005,5,FALSE))/(('CÀLCUL QUANTITATS VOLUM'!H134)*('CÀLCUL QUANTITATS VOLUM'!J134)),"")</f>
        <v>397.23918764586125</v>
      </c>
      <c r="L134" s="39">
        <f>IFERROR(G134*K134*VLOOKUP(I134,'DADES VOLUMS'!$A$3:$J$1005,6,FALSE),"")</f>
        <v>115.22717116043496</v>
      </c>
      <c r="M134" s="39">
        <f>IFERROR(IF(L134&gt;VLOOKUP(I134,'DADES VOLUMS'!$A$3:$J$1005,9,FALSE),VLOOKUP(I134,'DADES VOLUMS'!$A$3:$J$1005,9,FALSE),L134),"")</f>
        <v>115.22717116043496</v>
      </c>
      <c r="N134" s="40">
        <f t="shared" ref="N134" si="81">IFERROR(K134*M134/L134,"")</f>
        <v>397.23918764586125</v>
      </c>
      <c r="O134" s="39">
        <f>IFERROR(N134*VLOOKUP(I134,'DADES VOLUMS'!$A$3:$J$1005,6,FALSE),"")</f>
        <v>1191.7175629375838</v>
      </c>
      <c r="P134" s="42">
        <f>IFERROR(O134*VLOOKUP(I134,'DADES VOLUMS'!$A$3:$J$1005,8,FALSE),"")</f>
        <v>2979.2939073439593</v>
      </c>
      <c r="Q134" s="28">
        <f t="shared" ref="Q134" si="82">IFERROR(C134/P134/5400,"")</f>
        <v>1.3843262675925927E-2</v>
      </c>
      <c r="R134" s="29"/>
      <c r="S134" s="16"/>
      <c r="T134" s="16"/>
      <c r="U134" s="16"/>
      <c r="V134" s="79"/>
      <c r="W134" s="16"/>
    </row>
    <row r="135" spans="1:23">
      <c r="A135" s="46" t="s">
        <v>228</v>
      </c>
      <c r="B135" s="46" t="s">
        <v>229</v>
      </c>
      <c r="C135" s="47">
        <v>222713</v>
      </c>
      <c r="D135" s="14">
        <v>137</v>
      </c>
      <c r="E135" s="13">
        <v>98</v>
      </c>
      <c r="F135" s="13">
        <v>8</v>
      </c>
      <c r="G135" s="19">
        <v>9.6689999999999998E-2</v>
      </c>
      <c r="H135" s="45">
        <f t="shared" ref="H135:H155" si="83">F135*E135*D135</f>
        <v>107408</v>
      </c>
      <c r="I135" s="27" t="s">
        <v>46</v>
      </c>
      <c r="J135" s="31">
        <v>1.5</v>
      </c>
      <c r="K135" s="38">
        <f>IFERROR((VLOOKUP(I135,'DADES VOLUMS'!$A$3:$J$1005,5,FALSE))/(('CÀLCUL QUANTITATS VOLUM'!H135)*('CÀLCUL QUANTITATS VOLUM'!J135)),"")</f>
        <v>102.15719499478624</v>
      </c>
      <c r="L135" s="39">
        <f>IFERROR(G135*K135*VLOOKUP(I135,'DADES VOLUMS'!$A$3:$J$1005,6,FALSE),"")</f>
        <v>9.8775791840458815</v>
      </c>
      <c r="M135" s="39">
        <f>IFERROR(IF(L135&gt;VLOOKUP(I135,'DADES VOLUMS'!$A$3:$J$1005,9,FALSE),VLOOKUP(I135,'DADES VOLUMS'!$A$3:$J$1005,9,FALSE),L135),"")</f>
        <v>0</v>
      </c>
      <c r="N135" s="40">
        <f t="shared" ref="N135" si="84">IFERROR(K135*M135/L135,"")</f>
        <v>0</v>
      </c>
      <c r="O135" s="39">
        <f>IFERROR(N135*VLOOKUP(I135,'DADES VOLUMS'!$A$3:$J$1005,6,FALSE),"")</f>
        <v>0</v>
      </c>
      <c r="P135" s="42">
        <f>IFERROR(O135*VLOOKUP(I135,'DADES VOLUMS'!$A$3:$J$1005,8,FALSE),"")</f>
        <v>0</v>
      </c>
      <c r="Q135" s="28" t="str">
        <f t="shared" ref="Q135" si="85">IFERROR(C135/P135/5400,"")</f>
        <v/>
      </c>
      <c r="R135" s="29"/>
      <c r="S135" s="16"/>
      <c r="T135" s="16"/>
      <c r="U135" s="16"/>
      <c r="V135" s="79"/>
      <c r="W135" s="16"/>
    </row>
    <row r="136" spans="1:23">
      <c r="A136" s="46" t="s">
        <v>230</v>
      </c>
      <c r="B136" s="46" t="s">
        <v>263</v>
      </c>
      <c r="C136" s="47">
        <v>148000</v>
      </c>
      <c r="D136" s="14">
        <v>204</v>
      </c>
      <c r="E136" s="13">
        <v>87</v>
      </c>
      <c r="F136" s="13">
        <v>18</v>
      </c>
      <c r="G136" s="19">
        <v>0.11552</v>
      </c>
      <c r="H136" s="45">
        <f t="shared" si="83"/>
        <v>319464</v>
      </c>
      <c r="I136" s="27" t="s">
        <v>131</v>
      </c>
      <c r="J136" s="31">
        <v>1.2</v>
      </c>
      <c r="K136" s="38">
        <f>IFERROR((VLOOKUP(I136,'DADES VOLUMS'!$A$3:$J$1005,5,FALSE))/(('CÀLCUL QUANTITATS VOLUM'!H136)*('CÀLCUL QUANTITATS VOLUM'!J136)),"")</f>
        <v>469.53647359326874</v>
      </c>
      <c r="L136" s="39">
        <f>IFERROR(G136*K136*VLOOKUP(I136,'DADES VOLUMS'!$A$3:$J$1005,6,FALSE),"")</f>
        <v>54.2408534294944</v>
      </c>
      <c r="M136" s="39">
        <f>IFERROR(IF(L136&gt;VLOOKUP(I136,'DADES VOLUMS'!$A$3:$J$1005,9,FALSE),VLOOKUP(I136,'DADES VOLUMS'!$A$3:$J$1005,9,FALSE),L136),"")</f>
        <v>54.2408534294944</v>
      </c>
      <c r="N136" s="40">
        <f t="shared" ref="N136" si="86">IFERROR(K136*M136/L136,"")</f>
        <v>469.53647359326874</v>
      </c>
      <c r="O136" s="39">
        <f>IFERROR(N136*VLOOKUP(I136,'DADES VOLUMS'!$A$3:$J$1005,6,FALSE),"")</f>
        <v>469.53647359326874</v>
      </c>
      <c r="P136" s="42">
        <f>IFERROR(O136*VLOOKUP(I136,'DADES VOLUMS'!$A$3:$J$1005,8,FALSE),"")</f>
        <v>2347.6823679663439</v>
      </c>
      <c r="Q136" s="28">
        <f t="shared" ref="Q136" si="87">IFERROR(C136/P136/5400,"")</f>
        <v>1.1674239999999997E-2</v>
      </c>
      <c r="R136" s="29"/>
      <c r="S136" s="16"/>
      <c r="T136" s="16"/>
      <c r="U136" s="16"/>
      <c r="V136" s="79"/>
      <c r="W136" s="16"/>
    </row>
    <row r="137" spans="1:23">
      <c r="A137" s="46" t="s">
        <v>230</v>
      </c>
      <c r="B137" s="46" t="s">
        <v>263</v>
      </c>
      <c r="C137" s="47">
        <v>148000</v>
      </c>
      <c r="D137" s="14">
        <v>204</v>
      </c>
      <c r="E137" s="13">
        <v>87</v>
      </c>
      <c r="F137" s="13">
        <v>18</v>
      </c>
      <c r="G137" s="19">
        <v>0.11552</v>
      </c>
      <c r="H137" s="45">
        <f t="shared" si="83"/>
        <v>319464</v>
      </c>
      <c r="I137" s="27" t="s">
        <v>46</v>
      </c>
      <c r="J137" s="31">
        <v>1.2</v>
      </c>
      <c r="K137" s="38">
        <f>IFERROR((VLOOKUP(I137,'DADES VOLUMS'!$A$3:$J$1005,5,FALSE))/(('CÀLCUL QUANTITATS VOLUM'!H137)*('CÀLCUL QUANTITATS VOLUM'!J137)),"")</f>
        <v>42.933241304184513</v>
      </c>
      <c r="L137" s="39">
        <f>IFERROR(G137*K137*VLOOKUP(I137,'DADES VOLUMS'!$A$3:$J$1005,6,FALSE),"")</f>
        <v>4.959648035459395</v>
      </c>
      <c r="M137" s="39">
        <f>IFERROR(IF(L137&gt;VLOOKUP(I137,'DADES VOLUMS'!$A$3:$J$1005,9,FALSE),VLOOKUP(I137,'DADES VOLUMS'!$A$3:$J$1005,9,FALSE),L137),"")</f>
        <v>0</v>
      </c>
      <c r="N137" s="40">
        <f t="shared" ref="N137:N139" si="88">IFERROR(K137*M137/L137,"")</f>
        <v>0</v>
      </c>
      <c r="O137" s="39">
        <f>IFERROR(N137*VLOOKUP(I137,'DADES VOLUMS'!$A$3:$J$1005,6,FALSE),"")</f>
        <v>0</v>
      </c>
      <c r="P137" s="42">
        <f>IFERROR(O137*VLOOKUP(I137,'DADES VOLUMS'!$A$3:$J$1005,8,FALSE),"")</f>
        <v>0</v>
      </c>
      <c r="Q137" s="28" t="str">
        <f t="shared" ref="Q137:Q139" si="89">IFERROR(C137/P137/5400,"")</f>
        <v/>
      </c>
      <c r="R137" s="29"/>
      <c r="S137" s="16"/>
      <c r="T137" s="16"/>
      <c r="U137" s="16"/>
      <c r="V137" s="79"/>
      <c r="W137" s="16"/>
    </row>
    <row r="138" spans="1:23">
      <c r="A138" s="46" t="s">
        <v>262</v>
      </c>
      <c r="B138" s="46" t="s">
        <v>263</v>
      </c>
      <c r="C138" s="47">
        <v>148000</v>
      </c>
      <c r="D138" s="14">
        <v>214</v>
      </c>
      <c r="E138" s="13">
        <v>82</v>
      </c>
      <c r="F138" s="13">
        <v>20</v>
      </c>
      <c r="G138" s="19">
        <v>0.12280000000000001</v>
      </c>
      <c r="H138" s="45">
        <f t="shared" si="83"/>
        <v>350960</v>
      </c>
      <c r="I138" s="27" t="s">
        <v>131</v>
      </c>
      <c r="J138" s="31">
        <v>1.2</v>
      </c>
      <c r="K138" s="38">
        <f>IFERROR((VLOOKUP(I138,'DADES VOLUMS'!$A$3:$J$1005,5,FALSE))/(('CÀLCUL QUANTITATS VOLUM'!H138)*('CÀLCUL QUANTITATS VOLUM'!J138)),"")</f>
        <v>427.39913380442215</v>
      </c>
      <c r="L138" s="39">
        <f>IFERROR(G138*K138*VLOOKUP(I138,'DADES VOLUMS'!$A$3:$J$1005,6,FALSE),"")</f>
        <v>52.484613631183045</v>
      </c>
      <c r="M138" s="39">
        <f>IFERROR(IF(L138&gt;VLOOKUP(I138,'DADES VOLUMS'!$A$3:$J$1005,9,FALSE),VLOOKUP(I138,'DADES VOLUMS'!$A$3:$J$1005,9,FALSE),L138),"")</f>
        <v>52.484613631183045</v>
      </c>
      <c r="N138" s="40">
        <f t="shared" si="88"/>
        <v>427.39913380442215</v>
      </c>
      <c r="O138" s="39">
        <f>IFERROR(N138*VLOOKUP(I138,'DADES VOLUMS'!$A$3:$J$1005,6,FALSE),"")</f>
        <v>427.39913380442215</v>
      </c>
      <c r="P138" s="42">
        <f>IFERROR(O138*VLOOKUP(I138,'DADES VOLUMS'!$A$3:$J$1005,8,FALSE),"")</f>
        <v>2136.9956690221106</v>
      </c>
      <c r="Q138" s="28">
        <f t="shared" si="89"/>
        <v>1.2825204938271604E-2</v>
      </c>
      <c r="R138" s="29"/>
      <c r="S138" s="16"/>
      <c r="T138" s="16"/>
      <c r="U138" s="16"/>
      <c r="V138" s="79"/>
      <c r="W138" s="16"/>
    </row>
    <row r="139" spans="1:23">
      <c r="A139" s="46" t="s">
        <v>262</v>
      </c>
      <c r="B139" s="46" t="s">
        <v>263</v>
      </c>
      <c r="C139" s="47">
        <v>148000</v>
      </c>
      <c r="D139" s="14">
        <v>214</v>
      </c>
      <c r="E139" s="13">
        <v>82</v>
      </c>
      <c r="F139" s="13">
        <v>20</v>
      </c>
      <c r="G139" s="19">
        <v>0.12281</v>
      </c>
      <c r="H139" s="45">
        <f t="shared" si="83"/>
        <v>350960</v>
      </c>
      <c r="I139" s="27" t="s">
        <v>46</v>
      </c>
      <c r="J139" s="31">
        <v>1.2</v>
      </c>
      <c r="K139" s="38">
        <f>IFERROR((VLOOKUP(I139,'DADES VOLUMS'!$A$3:$J$1005,5,FALSE))/(('CÀLCUL QUANTITATS VOLUM'!H139)*('CÀLCUL QUANTITATS VOLUM'!J139)),"")</f>
        <v>39.080308297241849</v>
      </c>
      <c r="L139" s="39">
        <f>IFERROR(G139*K139*VLOOKUP(I139,'DADES VOLUMS'!$A$3:$J$1005,6,FALSE),"")</f>
        <v>4.7994526619842715</v>
      </c>
      <c r="M139" s="39">
        <f>IFERROR(IF(L139&gt;VLOOKUP(I139,'DADES VOLUMS'!$A$3:$J$1005,9,FALSE),VLOOKUP(I139,'DADES VOLUMS'!$A$3:$J$1005,9,FALSE),L139),"")</f>
        <v>0</v>
      </c>
      <c r="N139" s="40">
        <f t="shared" si="88"/>
        <v>0</v>
      </c>
      <c r="O139" s="39">
        <f>IFERROR(N139*VLOOKUP(I139,'DADES VOLUMS'!$A$3:$J$1005,6,FALSE),"")</f>
        <v>0</v>
      </c>
      <c r="P139" s="42">
        <f>IFERROR(O139*VLOOKUP(I139,'DADES VOLUMS'!$A$3:$J$1005,8,FALSE),"")</f>
        <v>0</v>
      </c>
      <c r="Q139" s="28" t="str">
        <f t="shared" si="89"/>
        <v/>
      </c>
      <c r="R139" s="29"/>
      <c r="S139" s="16"/>
      <c r="T139" s="16"/>
      <c r="U139" s="16"/>
      <c r="V139" s="79"/>
      <c r="W139" s="16"/>
    </row>
    <row r="140" spans="1:23">
      <c r="A140" s="46" t="s">
        <v>236</v>
      </c>
      <c r="B140" s="46" t="s">
        <v>237</v>
      </c>
      <c r="C140" s="47">
        <v>4000000</v>
      </c>
      <c r="D140" s="14">
        <v>69</v>
      </c>
      <c r="E140" s="13">
        <v>69</v>
      </c>
      <c r="F140" s="13">
        <v>12</v>
      </c>
      <c r="G140" s="19">
        <v>7.553E-2</v>
      </c>
      <c r="H140" s="45">
        <f t="shared" si="83"/>
        <v>57132</v>
      </c>
      <c r="I140" s="27" t="s">
        <v>134</v>
      </c>
      <c r="J140" s="31">
        <v>1.2</v>
      </c>
      <c r="K140" s="38">
        <f>IFERROR((VLOOKUP(I140,'DADES VOLUMS'!$A$3:$J$1005,5,FALSE))/(('CÀLCUL QUANTITATS VOLUM'!H140)*('CÀLCUL QUANTITATS VOLUM'!J140)),"")</f>
        <v>1400.2660505496046</v>
      </c>
      <c r="L140" s="39">
        <f>IFERROR(G140*K140*VLOOKUP(I140,'DADES VOLUMS'!$A$3:$J$1005,6,FALSE),"")</f>
        <v>317.28628439403496</v>
      </c>
      <c r="M140" s="39">
        <f>IFERROR(IF(L140&gt;VLOOKUP(I140,'DADES VOLUMS'!$A$3:$J$1005,9,FALSE),VLOOKUP(I140,'DADES VOLUMS'!$A$3:$J$1005,9,FALSE),L140),"")</f>
        <v>317.28628439403496</v>
      </c>
      <c r="N140" s="40">
        <f t="shared" ref="N140" si="90">IFERROR(K140*M140/L140,"")</f>
        <v>1400.2660505496046</v>
      </c>
      <c r="O140" s="39">
        <f>IFERROR(N140*VLOOKUP(I140,'DADES VOLUMS'!$A$3:$J$1005,6,FALSE),"")</f>
        <v>4200.7981516488144</v>
      </c>
      <c r="P140" s="42">
        <f>IFERROR(O140*VLOOKUP(I140,'DADES VOLUMS'!$A$3:$J$1005,8,FALSE),"")</f>
        <v>10501.995379122036</v>
      </c>
      <c r="Q140" s="28">
        <f t="shared" ref="Q140" si="91">IFERROR(C140/P140/5400,"")</f>
        <v>7.0533333333333309E-2</v>
      </c>
      <c r="R140" s="29"/>
      <c r="S140" s="16"/>
      <c r="T140" s="16"/>
      <c r="U140" s="16"/>
      <c r="V140" s="79"/>
      <c r="W140" s="16"/>
    </row>
    <row r="141" spans="1:23">
      <c r="A141" s="46" t="s">
        <v>240</v>
      </c>
      <c r="B141" s="46" t="s">
        <v>241</v>
      </c>
      <c r="C141" s="47">
        <v>500000</v>
      </c>
      <c r="D141" s="14">
        <v>81</v>
      </c>
      <c r="E141" s="13">
        <v>81</v>
      </c>
      <c r="F141" s="13">
        <v>25</v>
      </c>
      <c r="G141" s="19">
        <v>7.4310000000000001E-2</v>
      </c>
      <c r="H141" s="45">
        <f t="shared" ref="H141" si="92">F141*E141*D141</f>
        <v>164025</v>
      </c>
      <c r="I141" s="27" t="s">
        <v>131</v>
      </c>
      <c r="J141" s="31">
        <v>1.5</v>
      </c>
      <c r="K141" s="38">
        <f>IFERROR((VLOOKUP(I141,'DADES VOLUMS'!$A$3:$J$1005,5,FALSE))/(('CÀLCUL QUANTITATS VOLUM'!H141)*('CÀLCUL QUANTITATS VOLUM'!J141)),"")</f>
        <v>731.59579332418843</v>
      </c>
      <c r="L141" s="39">
        <f>IFERROR(G141*K141*VLOOKUP(I141,'DADES VOLUMS'!$A$3:$J$1005,6,FALSE),"")</f>
        <v>54.364883401920444</v>
      </c>
      <c r="M141" s="39">
        <f>IFERROR(IF(L141&gt;VLOOKUP(I141,'DADES VOLUMS'!$A$3:$J$1005,9,FALSE),VLOOKUP(I141,'DADES VOLUMS'!$A$3:$J$1005,9,FALSE),L141),"")</f>
        <v>54.364883401920444</v>
      </c>
      <c r="N141" s="40">
        <f t="shared" ref="N141" si="93">IFERROR(K141*M141/L141,"")</f>
        <v>731.59579332418843</v>
      </c>
      <c r="O141" s="39">
        <f>IFERROR(N141*VLOOKUP(I141,'DADES VOLUMS'!$A$3:$J$1005,6,FALSE),"")</f>
        <v>731.59579332418843</v>
      </c>
      <c r="P141" s="42">
        <f>IFERROR(O141*VLOOKUP(I141,'DADES VOLUMS'!$A$3:$J$1005,8,FALSE),"")</f>
        <v>3657.9789666209422</v>
      </c>
      <c r="Q141" s="28">
        <f t="shared" ref="Q141" si="94">IFERROR(C141/P141/5400,"")</f>
        <v>2.5312500000000002E-2</v>
      </c>
      <c r="R141" s="29"/>
      <c r="S141" s="16"/>
      <c r="T141" s="16"/>
      <c r="U141" s="16"/>
      <c r="V141" s="79"/>
      <c r="W141" s="16"/>
    </row>
    <row r="142" spans="1:23">
      <c r="A142" s="46" t="s">
        <v>242</v>
      </c>
      <c r="B142" s="46" t="s">
        <v>241</v>
      </c>
      <c r="C142" s="47">
        <v>500000</v>
      </c>
      <c r="D142" s="14">
        <v>81</v>
      </c>
      <c r="E142" s="13">
        <v>81</v>
      </c>
      <c r="F142" s="13">
        <v>25</v>
      </c>
      <c r="G142" s="19">
        <v>7.4310000000000001E-2</v>
      </c>
      <c r="H142" s="45">
        <f t="shared" ref="H142:H143" si="95">F142*E142*D142</f>
        <v>164025</v>
      </c>
      <c r="I142" s="27" t="s">
        <v>45</v>
      </c>
      <c r="J142" s="31">
        <v>1.2</v>
      </c>
      <c r="K142" s="38">
        <f>IFERROR((VLOOKUP(I142,'DADES VOLUMS'!$A$3:$J$1005,5,FALSE))/(('CÀLCUL QUANTITATS VOLUM'!H142)*('CÀLCUL QUANTITATS VOLUM'!J142)),"")</f>
        <v>51.89300411522634</v>
      </c>
      <c r="L142" s="39">
        <f>IFERROR(G142*K142*VLOOKUP(I142,'DADES VOLUMS'!$A$3:$J$1005,6,FALSE),"")</f>
        <v>3.8561691358024692</v>
      </c>
      <c r="M142" s="39">
        <f>IFERROR(IF(L142&gt;VLOOKUP(I142,'DADES VOLUMS'!$A$3:$J$1005,9,FALSE),VLOOKUP(I142,'DADES VOLUMS'!$A$3:$J$1005,9,FALSE),L142),"")</f>
        <v>0</v>
      </c>
      <c r="N142" s="40">
        <f t="shared" ref="N142" si="96">IFERROR(K142*M142/L142,"")</f>
        <v>0</v>
      </c>
      <c r="O142" s="39">
        <f>IFERROR(N142*VLOOKUP(I142,'DADES VOLUMS'!$A$3:$J$1005,6,FALSE),"")</f>
        <v>0</v>
      </c>
      <c r="P142" s="42">
        <f>IFERROR(O142*VLOOKUP(I142,'DADES VOLUMS'!$A$3:$J$1005,8,FALSE),"")</f>
        <v>0</v>
      </c>
      <c r="Q142" s="28" t="str">
        <f t="shared" ref="Q142" si="97">IFERROR(C142/P142/5400,"")</f>
        <v/>
      </c>
      <c r="R142" s="29"/>
      <c r="S142" s="16"/>
      <c r="T142" s="16"/>
      <c r="U142" s="16"/>
      <c r="V142" s="79"/>
      <c r="W142" s="16"/>
    </row>
    <row r="143" spans="1:23">
      <c r="A143" s="46" t="s">
        <v>249</v>
      </c>
      <c r="B143" s="46" t="s">
        <v>250</v>
      </c>
      <c r="C143" s="47">
        <v>345947</v>
      </c>
      <c r="D143" s="14">
        <v>79</v>
      </c>
      <c r="E143" s="13">
        <v>79</v>
      </c>
      <c r="F143" s="13">
        <v>9</v>
      </c>
      <c r="G143" s="19">
        <v>9.8909999999999998E-2</v>
      </c>
      <c r="H143" s="45">
        <f t="shared" si="95"/>
        <v>56169</v>
      </c>
      <c r="K143" s="38"/>
      <c r="L143" s="39"/>
      <c r="M143" s="39"/>
      <c r="N143" s="40"/>
      <c r="O143" s="39"/>
      <c r="P143" s="42"/>
      <c r="Q143" s="28"/>
      <c r="R143" s="29"/>
      <c r="S143" s="16"/>
      <c r="T143" s="16"/>
      <c r="U143" s="16"/>
      <c r="V143" s="79"/>
      <c r="W143" s="16"/>
    </row>
    <row r="144" spans="1:23">
      <c r="A144" s="46" t="s">
        <v>239</v>
      </c>
      <c r="B144" s="46" t="s">
        <v>196</v>
      </c>
      <c r="C144" s="47">
        <v>200000</v>
      </c>
      <c r="D144" s="14">
        <v>175</v>
      </c>
      <c r="E144" s="13">
        <v>76</v>
      </c>
      <c r="F144" s="13">
        <v>55</v>
      </c>
      <c r="G144" s="19">
        <v>0.16299</v>
      </c>
      <c r="H144" s="45">
        <f t="shared" si="83"/>
        <v>731500</v>
      </c>
      <c r="I144" s="27" t="s">
        <v>131</v>
      </c>
      <c r="J144" s="31">
        <v>1.2</v>
      </c>
      <c r="K144" s="38">
        <f>IFERROR((VLOOKUP(I144,'DADES VOLUMS'!$A$3:$J$1005,5,FALSE))/(('CÀLCUL QUANTITATS VOLUM'!H144)*('CÀLCUL QUANTITATS VOLUM'!J144)),"")</f>
        <v>205.05809979494191</v>
      </c>
      <c r="L144" s="39">
        <f>IFERROR(G144*K144*VLOOKUP(I144,'DADES VOLUMS'!$A$3:$J$1005,6,FALSE),"")</f>
        <v>33.42241968557758</v>
      </c>
      <c r="M144" s="39">
        <f>IFERROR(IF(L144&gt;VLOOKUP(I144,'DADES VOLUMS'!$A$3:$J$1005,9,FALSE),VLOOKUP(I144,'DADES VOLUMS'!$A$3:$J$1005,9,FALSE),L144),"")</f>
        <v>33.42241968557758</v>
      </c>
      <c r="N144" s="40">
        <f t="shared" ref="N144:N150" si="98">IFERROR(K144*M144/L144,"")</f>
        <v>205.05809979494191</v>
      </c>
      <c r="O144" s="39">
        <f>IFERROR(N144*VLOOKUP(I144,'DADES VOLUMS'!$A$3:$J$1005,6,FALSE),"")</f>
        <v>205.05809979494191</v>
      </c>
      <c r="P144" s="42">
        <f>IFERROR(O144*VLOOKUP(I144,'DADES VOLUMS'!$A$3:$J$1005,8,FALSE),"")</f>
        <v>1025.2904989747096</v>
      </c>
      <c r="Q144" s="28">
        <f>IFERROR(C144/P144/5400,"")</f>
        <v>3.6123456790123451E-2</v>
      </c>
      <c r="R144" s="29"/>
      <c r="S144" s="16"/>
      <c r="T144" s="16"/>
      <c r="U144" s="16"/>
      <c r="V144" s="79"/>
      <c r="W144" s="16"/>
    </row>
    <row r="145" spans="1:24">
      <c r="A145" s="46" t="s">
        <v>243</v>
      </c>
      <c r="B145" s="46" t="s">
        <v>244</v>
      </c>
      <c r="C145" s="47">
        <v>99000</v>
      </c>
      <c r="D145" s="14">
        <v>108</v>
      </c>
      <c r="E145" s="13">
        <v>60</v>
      </c>
      <c r="F145" s="13">
        <v>45</v>
      </c>
      <c r="G145" s="19">
        <v>0.10630000000000001</v>
      </c>
      <c r="H145" s="45">
        <f t="shared" si="83"/>
        <v>291600</v>
      </c>
      <c r="I145" s="27" t="s">
        <v>46</v>
      </c>
      <c r="J145" s="31">
        <v>1.2</v>
      </c>
      <c r="K145" s="38">
        <f>IFERROR((VLOOKUP(I145,'DADES VOLUMS'!$A$3:$J$1005,5,FALSE))/(('CÀLCUL QUANTITATS VOLUM'!H145)*('CÀLCUL QUANTITATS VOLUM'!J145)),"")</f>
        <v>47.035751028806587</v>
      </c>
      <c r="L145" s="39">
        <f>IFERROR(G145*K145*VLOOKUP(I145,'DADES VOLUMS'!$A$3:$J$1005,6,FALSE),"")</f>
        <v>4.9999003343621409</v>
      </c>
      <c r="M145" s="39">
        <f>IFERROR(IF(L145&gt;VLOOKUP(I145,'DADES VOLUMS'!$A$3:$J$1005,9,FALSE),VLOOKUP(I145,'DADES VOLUMS'!$A$3:$J$1005,9,FALSE),L145),"")</f>
        <v>0</v>
      </c>
      <c r="N145" s="40">
        <f t="shared" si="98"/>
        <v>0</v>
      </c>
      <c r="O145" s="39">
        <f>IFERROR(N145*VLOOKUP(I145,'DADES VOLUMS'!$A$3:$J$1005,6,FALSE),"")</f>
        <v>0</v>
      </c>
      <c r="P145" s="42">
        <f>IFERROR(O145*VLOOKUP(I145,'DADES VOLUMS'!$A$3:$J$1005,8,FALSE),"")</f>
        <v>0</v>
      </c>
      <c r="Q145" s="28" t="str">
        <f>IFERROR(C145/P145/5400,"")</f>
        <v/>
      </c>
      <c r="R145" s="29"/>
      <c r="S145" s="16"/>
      <c r="T145" s="16"/>
      <c r="U145" s="16"/>
      <c r="V145" s="79"/>
      <c r="W145" s="16"/>
      <c r="X145" s="15" t="s">
        <v>245</v>
      </c>
    </row>
    <row r="146" spans="1:24">
      <c r="A146" s="46" t="s">
        <v>243</v>
      </c>
      <c r="B146" s="46" t="s">
        <v>246</v>
      </c>
      <c r="C146" s="47">
        <v>95950</v>
      </c>
      <c r="D146" s="14">
        <v>70</v>
      </c>
      <c r="E146" s="13">
        <v>55</v>
      </c>
      <c r="F146" s="13">
        <v>20</v>
      </c>
      <c r="G146" s="19">
        <v>2.8129999999999999E-2</v>
      </c>
      <c r="H146" s="45">
        <f t="shared" si="83"/>
        <v>77000</v>
      </c>
      <c r="I146" s="27" t="s">
        <v>46</v>
      </c>
      <c r="J146" s="31">
        <v>1.2</v>
      </c>
      <c r="K146" s="38">
        <f>IFERROR((VLOOKUP(I146,'DADES VOLUMS'!$A$3:$J$1005,5,FALSE))/(('CÀLCUL QUANTITATS VOLUM'!H146)*('CÀLCUL QUANTITATS VOLUM'!J146)),"")</f>
        <v>178.125</v>
      </c>
      <c r="L146" s="39">
        <f>IFERROR(G146*K146*VLOOKUP(I146,'DADES VOLUMS'!$A$3:$J$1005,6,FALSE),"")</f>
        <v>5.0106562499999994</v>
      </c>
      <c r="M146" s="39">
        <f>IFERROR(IF(L146&gt;VLOOKUP(I146,'DADES VOLUMS'!$A$3:$J$1005,9,FALSE),VLOOKUP(I146,'DADES VOLUMS'!$A$3:$J$1005,9,FALSE),L146),"")</f>
        <v>0</v>
      </c>
      <c r="N146" s="40">
        <f t="shared" si="98"/>
        <v>0</v>
      </c>
      <c r="O146" s="39">
        <f>IFERROR(N146*VLOOKUP(I146,'DADES VOLUMS'!$A$3:$J$1005,6,FALSE),"")</f>
        <v>0</v>
      </c>
      <c r="P146" s="42">
        <f>IFERROR(O146*VLOOKUP(I146,'DADES VOLUMS'!$A$3:$J$1005,8,FALSE),"")</f>
        <v>0</v>
      </c>
      <c r="Q146" s="28" t="str">
        <f>IFERROR(C146/P146/5400,"")</f>
        <v/>
      </c>
      <c r="R146" s="29"/>
      <c r="S146" s="16"/>
      <c r="T146" s="16"/>
      <c r="U146" s="16"/>
      <c r="V146" s="79"/>
      <c r="W146" s="16"/>
    </row>
    <row r="147" spans="1:24">
      <c r="A147" s="46" t="s">
        <v>247</v>
      </c>
      <c r="B147" s="46" t="s">
        <v>248</v>
      </c>
      <c r="C147" s="47">
        <v>450000</v>
      </c>
      <c r="D147" s="14">
        <v>250</v>
      </c>
      <c r="E147" s="13">
        <v>21</v>
      </c>
      <c r="F147" s="13">
        <v>25</v>
      </c>
      <c r="G147" s="19">
        <v>4.6280000000000002E-2</v>
      </c>
      <c r="H147" s="45">
        <f t="shared" si="83"/>
        <v>131250</v>
      </c>
      <c r="I147" s="27" t="s">
        <v>251</v>
      </c>
      <c r="J147" s="31">
        <v>1.5</v>
      </c>
      <c r="K147" s="38">
        <f>IFERROR((VLOOKUP(I147,'DADES VOLUMS'!$A$3:$J$1005,5,FALSE))/(('CÀLCUL QUANTITATS VOLUM'!H147)*('CÀLCUL QUANTITATS VOLUM'!J147)),"")</f>
        <v>2031.7460317460318</v>
      </c>
      <c r="L147" s="39">
        <f>IFERROR(G147*K147*VLOOKUP(I147,'DADES VOLUMS'!$A$3:$J$1005,6,FALSE),"")</f>
        <v>94.029206349206362</v>
      </c>
      <c r="M147" s="39">
        <f>IFERROR(IF(L147&gt;VLOOKUP(I147,'DADES VOLUMS'!$A$3:$J$1005,9,FALSE),VLOOKUP(I147,'DADES VOLUMS'!$A$3:$J$1005,9,FALSE),L147),"")</f>
        <v>0</v>
      </c>
      <c r="N147" s="40">
        <f t="shared" si="98"/>
        <v>0</v>
      </c>
      <c r="O147" s="39">
        <f>IFERROR(N147*VLOOKUP(I147,'DADES VOLUMS'!$A$3:$J$1005,6,FALSE),"")</f>
        <v>0</v>
      </c>
      <c r="P147" s="42">
        <f>IFERROR(O147*VLOOKUP(I147,'DADES VOLUMS'!$A$3:$J$1005,8,FALSE),"")</f>
        <v>0</v>
      </c>
      <c r="Q147" s="28" t="str">
        <f>IFERROR(C147/P147/5400,"")</f>
        <v/>
      </c>
      <c r="R147" s="29"/>
      <c r="S147" s="16"/>
      <c r="T147" s="16"/>
      <c r="U147" s="16"/>
      <c r="V147" s="79"/>
      <c r="W147" s="16"/>
    </row>
    <row r="148" spans="1:24">
      <c r="A148" s="46" t="s">
        <v>255</v>
      </c>
      <c r="B148" s="46" t="s">
        <v>256</v>
      </c>
      <c r="C148" s="47">
        <v>450000</v>
      </c>
      <c r="D148" s="14">
        <v>79</v>
      </c>
      <c r="E148" s="13">
        <v>103</v>
      </c>
      <c r="F148" s="13">
        <v>74</v>
      </c>
      <c r="G148" s="19">
        <v>0.15</v>
      </c>
      <c r="H148" s="45">
        <f t="shared" si="83"/>
        <v>602138</v>
      </c>
      <c r="I148" s="27" t="s">
        <v>48</v>
      </c>
      <c r="J148" s="31">
        <v>1.2</v>
      </c>
      <c r="K148" s="38">
        <f>IFERROR((VLOOKUP(I148,'DADES VOLUMS'!$A$3:$J$1005,5,FALSE))/(('CÀLCUL QUANTITATS VOLUM'!H148)*('CÀLCUL QUANTITATS VOLUM'!J148)),"")</f>
        <v>47.767289226057812</v>
      </c>
      <c r="L148" s="39">
        <f>IFERROR(G148*K148*VLOOKUP(I148,'DADES VOLUMS'!$A$3:$J$1005,6,FALSE),"")</f>
        <v>7.1650933839086717</v>
      </c>
      <c r="M148" s="39">
        <f>IFERROR(IF(L148&gt;VLOOKUP(I148,'DADES VOLUMS'!$A$3:$J$1005,9,FALSE),VLOOKUP(I148,'DADES VOLUMS'!$A$3:$J$1005,9,FALSE),L148),"")</f>
        <v>0</v>
      </c>
      <c r="N148" s="40">
        <f t="shared" ref="N148" si="99">IFERROR(K148*M148/L148,"")</f>
        <v>0</v>
      </c>
      <c r="O148" s="39">
        <f>IFERROR(N148*VLOOKUP(I148,'DADES VOLUMS'!$A$3:$J$1005,6,FALSE),"")</f>
        <v>0</v>
      </c>
      <c r="P148" s="42">
        <f>IFERROR(O148*VLOOKUP(I148,'DADES VOLUMS'!$A$3:$J$1005,8,FALSE),"")</f>
        <v>0</v>
      </c>
      <c r="Q148" s="28"/>
      <c r="R148" s="29"/>
      <c r="S148" s="16"/>
      <c r="T148" s="16"/>
      <c r="U148" s="16"/>
      <c r="V148" s="79"/>
      <c r="W148" s="16"/>
    </row>
    <row r="149" spans="1:24">
      <c r="A149" s="46" t="s">
        <v>252</v>
      </c>
      <c r="B149" s="46">
        <v>6228440</v>
      </c>
      <c r="C149" s="47">
        <v>700000</v>
      </c>
      <c r="D149" s="14">
        <v>69</v>
      </c>
      <c r="E149" s="13">
        <v>69</v>
      </c>
      <c r="F149" s="13">
        <v>15.3</v>
      </c>
      <c r="G149" s="19">
        <v>7.2819999999999996E-2</v>
      </c>
      <c r="H149" s="45">
        <f t="shared" si="83"/>
        <v>72843.3</v>
      </c>
      <c r="I149" s="27" t="s">
        <v>134</v>
      </c>
      <c r="J149" s="31">
        <v>1.2</v>
      </c>
      <c r="K149" s="38">
        <f>IFERROR((VLOOKUP(I149,'DADES VOLUMS'!$A$3:$J$1005,5,FALSE))/(('CÀLCUL QUANTITATS VOLUM'!H149)*('CÀLCUL QUANTITATS VOLUM'!J149)),"")</f>
        <v>1098.2478827840034</v>
      </c>
      <c r="L149" s="39">
        <f>IFERROR(G149*K149*VLOOKUP(I149,'DADES VOLUMS'!$A$3:$J$1005,6,FALSE),"")</f>
        <v>239.92323247299339</v>
      </c>
      <c r="M149" s="39">
        <f>IFERROR(IF(L149&gt;VLOOKUP(I149,'DADES VOLUMS'!$A$3:$J$1005,9,FALSE),VLOOKUP(I149,'DADES VOLUMS'!$A$3:$J$1005,9,FALSE),L149),"")</f>
        <v>239.92323247299339</v>
      </c>
      <c r="N149" s="40">
        <f t="shared" si="98"/>
        <v>1098.2478827840034</v>
      </c>
      <c r="O149" s="39">
        <f>IFERROR(N149*VLOOKUP(I149,'DADES VOLUMS'!$A$3:$J$1005,6,FALSE),"")</f>
        <v>3294.7436483520105</v>
      </c>
      <c r="P149" s="42">
        <f>IFERROR(O149*VLOOKUP(I149,'DADES VOLUMS'!$A$3:$J$1005,8,FALSE),"")</f>
        <v>8236.8591208800262</v>
      </c>
      <c r="Q149" s="116"/>
      <c r="R149" s="29"/>
      <c r="S149" s="16"/>
      <c r="T149" s="16"/>
      <c r="U149" s="16"/>
      <c r="V149" s="79"/>
      <c r="W149" s="16"/>
    </row>
    <row r="150" spans="1:24">
      <c r="A150" s="46" t="s">
        <v>253</v>
      </c>
      <c r="B150" s="46" t="s">
        <v>254</v>
      </c>
      <c r="C150" s="47">
        <v>211500</v>
      </c>
      <c r="D150" s="14">
        <v>111</v>
      </c>
      <c r="E150" s="13">
        <v>34</v>
      </c>
      <c r="F150" s="13">
        <v>8</v>
      </c>
      <c r="G150" s="19">
        <v>7.3770000000000002E-2</v>
      </c>
      <c r="H150" s="45">
        <f t="shared" si="83"/>
        <v>30192</v>
      </c>
      <c r="I150" s="27" t="s">
        <v>134</v>
      </c>
      <c r="J150" s="31">
        <v>1.2</v>
      </c>
      <c r="K150" s="38">
        <f>IFERROR((VLOOKUP(I150,'DADES VOLUMS'!$A$3:$J$1005,5,FALSE))/(('CÀLCUL QUANTITATS VOLUM'!H150)*('CÀLCUL QUANTITATS VOLUM'!J150)),"")</f>
        <v>2649.7085320614733</v>
      </c>
      <c r="L150" s="39">
        <f>IFERROR(G150*K150*VLOOKUP(I150,'DADES VOLUMS'!$A$3:$J$1005,6,FALSE),"")</f>
        <v>586.40699523052467</v>
      </c>
      <c r="M150" s="39">
        <f>IFERROR(IF(L150&gt;VLOOKUP(I150,'DADES VOLUMS'!$A$3:$J$1005,9,FALSE),VLOOKUP(I150,'DADES VOLUMS'!$A$3:$J$1005,9,FALSE),L150),"")</f>
        <v>586.40699523052467</v>
      </c>
      <c r="N150" s="40">
        <f t="shared" si="98"/>
        <v>2649.7085320614733</v>
      </c>
      <c r="O150" s="39">
        <f>IFERROR(N150*VLOOKUP(I150,'DADES VOLUMS'!$A$3:$J$1005,6,FALSE),"")</f>
        <v>7949.1255961844199</v>
      </c>
      <c r="P150" s="42">
        <f>IFERROR(O150*VLOOKUP(I150,'DADES VOLUMS'!$A$3:$J$1005,8,FALSE),"")</f>
        <v>19872.813990461051</v>
      </c>
      <c r="Q150" s="116"/>
      <c r="R150" s="29"/>
      <c r="S150" s="16"/>
      <c r="T150" s="16"/>
      <c r="U150" s="16"/>
      <c r="V150" s="79"/>
      <c r="W150" s="16"/>
    </row>
    <row r="151" spans="1:24">
      <c r="A151" s="46" t="s">
        <v>260</v>
      </c>
      <c r="B151" s="46" t="s">
        <v>261</v>
      </c>
      <c r="C151" s="47">
        <v>125000</v>
      </c>
      <c r="D151" s="14">
        <v>112</v>
      </c>
      <c r="E151" s="13">
        <v>121</v>
      </c>
      <c r="F151" s="13">
        <v>6</v>
      </c>
      <c r="G151" s="19">
        <v>6.0999999999999999E-2</v>
      </c>
      <c r="H151" s="45">
        <f t="shared" si="83"/>
        <v>81312</v>
      </c>
      <c r="I151" s="27" t="s">
        <v>33</v>
      </c>
      <c r="J151" s="31">
        <v>1.2</v>
      </c>
      <c r="K151" s="38">
        <f>IFERROR((VLOOKUP(I151,'DADES VOLUMS'!$A$3:$J$1005,5,FALSE))/(('CÀLCUL QUANTITATS VOLUM'!H151)*('CÀLCUL QUANTITATS VOLUM'!J151)),"")</f>
        <v>138.35596221959858</v>
      </c>
      <c r="L151" s="39">
        <f>IFERROR(G151*K151*VLOOKUP(I151,'DADES VOLUMS'!$A$3:$J$1005,6,FALSE),"")</f>
        <v>8.439713695395513</v>
      </c>
      <c r="M151" s="39">
        <f>IFERROR(IF(L151&gt;VLOOKUP(I151,'DADES VOLUMS'!$A$3:$J$1005,9,FALSE),VLOOKUP(I151,'DADES VOLUMS'!$A$3:$J$1005,9,FALSE),L151),"")</f>
        <v>0</v>
      </c>
      <c r="N151" s="40">
        <f t="shared" ref="N151" si="100">IFERROR(K151*M151/L151,"")</f>
        <v>0</v>
      </c>
      <c r="O151" s="39">
        <f>IFERROR(N151*VLOOKUP(I151,'DADES VOLUMS'!$A$3:$J$1005,6,FALSE),"")</f>
        <v>0</v>
      </c>
      <c r="P151" s="42">
        <f>IFERROR(O151*VLOOKUP(I151,'DADES VOLUMS'!$A$3:$J$1005,8,FALSE),"")</f>
        <v>0</v>
      </c>
      <c r="Q151" s="116"/>
      <c r="R151" s="29"/>
      <c r="S151" s="16"/>
      <c r="T151" s="16"/>
      <c r="U151" s="16"/>
      <c r="V151" s="79"/>
      <c r="W151" s="16"/>
    </row>
    <row r="152" spans="1:24">
      <c r="A152" s="46" t="s">
        <v>264</v>
      </c>
      <c r="B152" s="46" t="s">
        <v>259</v>
      </c>
      <c r="C152" s="47">
        <v>1500000</v>
      </c>
      <c r="D152" s="14">
        <v>46</v>
      </c>
      <c r="E152" s="13">
        <v>35</v>
      </c>
      <c r="F152" s="115">
        <v>1.5</v>
      </c>
      <c r="G152" s="19">
        <v>7.4099999999999999E-3</v>
      </c>
      <c r="H152" s="45">
        <f t="shared" si="83"/>
        <v>2415</v>
      </c>
      <c r="I152" s="27" t="s">
        <v>46</v>
      </c>
      <c r="J152" s="31">
        <v>1.2</v>
      </c>
      <c r="K152" s="38">
        <f>IFERROR((VLOOKUP(I152,'DADES VOLUMS'!$A$3:$J$1005,5,FALSE))/(('CÀLCUL QUANTITATS VOLUM'!H152)*('CÀLCUL QUANTITATS VOLUM'!J152)),"")</f>
        <v>5679.347826086957</v>
      </c>
      <c r="L152" s="39">
        <f>IFERROR(G152*K152*VLOOKUP(I152,'DADES VOLUMS'!$A$3:$J$1005,6,FALSE),"")</f>
        <v>42.083967391304348</v>
      </c>
      <c r="M152" s="39">
        <f>IFERROR(IF(L152&gt;VLOOKUP(I152,'DADES VOLUMS'!$A$3:$J$1005,9,FALSE),VLOOKUP(I152,'DADES VOLUMS'!$A$3:$J$1005,9,FALSE),L152),"")</f>
        <v>0</v>
      </c>
      <c r="N152" s="40">
        <f t="shared" ref="N152" si="101">IFERROR(K152*M152/L152,"")</f>
        <v>0</v>
      </c>
      <c r="O152" s="39">
        <f>IFERROR(N152*VLOOKUP(I152,'DADES VOLUMS'!$A$3:$J$1005,6,FALSE),"")</f>
        <v>0</v>
      </c>
      <c r="P152" s="42">
        <f>IFERROR(O152*VLOOKUP(I152,'DADES VOLUMS'!$A$3:$J$1005,8,FALSE),"")</f>
        <v>0</v>
      </c>
      <c r="Q152" s="116"/>
      <c r="R152" s="29"/>
      <c r="S152" s="16"/>
      <c r="T152" s="16"/>
      <c r="U152" s="16"/>
      <c r="V152" s="79"/>
      <c r="W152" s="16"/>
    </row>
    <row r="153" spans="1:24">
      <c r="A153" s="46" t="s">
        <v>265</v>
      </c>
      <c r="B153" s="46" t="s">
        <v>266</v>
      </c>
      <c r="C153" s="47">
        <v>5000000</v>
      </c>
      <c r="D153" s="118">
        <v>11.87</v>
      </c>
      <c r="E153" s="119">
        <v>11.87</v>
      </c>
      <c r="F153" s="115">
        <v>0.33</v>
      </c>
      <c r="G153" s="19">
        <v>4.0999999999999999E-4</v>
      </c>
      <c r="H153" s="45">
        <f t="shared" si="83"/>
        <v>46.495976999999996</v>
      </c>
      <c r="I153" s="27" t="s">
        <v>46</v>
      </c>
      <c r="J153" s="31">
        <v>1.2</v>
      </c>
      <c r="K153" s="38">
        <f>IFERROR((VLOOKUP(I153,'DADES VOLUMS'!$A$3:$J$1005,5,FALSE))/(('CÀLCUL QUANTITATS VOLUM'!H153)*('CÀLCUL QUANTITATS VOLUM'!J153)),"")</f>
        <v>294985.198396842</v>
      </c>
      <c r="L153" s="39">
        <f>IFERROR(G153*K153*VLOOKUP(I153,'DADES VOLUMS'!$A$3:$J$1005,6,FALSE),"")</f>
        <v>120.94393134270521</v>
      </c>
      <c r="M153" s="39">
        <f>IFERROR(IF(L153&gt;VLOOKUP(I153,'DADES VOLUMS'!$A$3:$J$1005,9,FALSE),VLOOKUP(I153,'DADES VOLUMS'!$A$3:$J$1005,9,FALSE),L153),"")</f>
        <v>0</v>
      </c>
      <c r="N153" s="40">
        <f t="shared" ref="N153" si="102">IFERROR(K153*M153/L153,"")</f>
        <v>0</v>
      </c>
      <c r="O153" s="39">
        <f>IFERROR(N153*VLOOKUP(I153,'DADES VOLUMS'!$A$3:$J$1005,6,FALSE),"")</f>
        <v>0</v>
      </c>
      <c r="P153" s="42">
        <f>IFERROR(O153*VLOOKUP(I153,'DADES VOLUMS'!$A$3:$J$1005,8,FALSE),"")</f>
        <v>0</v>
      </c>
      <c r="Q153" s="116"/>
      <c r="R153" s="29"/>
      <c r="S153" s="16"/>
      <c r="T153" s="16"/>
      <c r="U153" s="16"/>
      <c r="V153" s="79"/>
      <c r="W153" s="16"/>
    </row>
    <row r="154" spans="1:24">
      <c r="A154" s="46" t="s">
        <v>257</v>
      </c>
      <c r="B154" s="46" t="s">
        <v>237</v>
      </c>
      <c r="C154" s="47">
        <v>320000</v>
      </c>
      <c r="D154" s="14">
        <v>73</v>
      </c>
      <c r="E154" s="13">
        <v>69</v>
      </c>
      <c r="F154" s="13">
        <v>16</v>
      </c>
      <c r="G154" s="19">
        <v>8.8760000000000006E-2</v>
      </c>
      <c r="H154" s="45">
        <f t="shared" si="83"/>
        <v>80592</v>
      </c>
      <c r="I154" s="27" t="s">
        <v>134</v>
      </c>
      <c r="J154" s="31">
        <v>1.2</v>
      </c>
      <c r="K154" s="38">
        <f>IFERROR((VLOOKUP(I154,'DADES VOLUMS'!$A$3:$J$1005,5,FALSE))/(('CÀLCUL QUANTITATS VOLUM'!H154)*('CÀLCUL QUANTITATS VOLUM'!J154)),"")</f>
        <v>992.65435775263063</v>
      </c>
      <c r="L154" s="39">
        <f>IFERROR(G154*K154*VLOOKUP(I154,'DADES VOLUMS'!$A$3:$J$1005,6,FALSE),"")</f>
        <v>264.32400238237051</v>
      </c>
      <c r="M154" s="39">
        <f>IFERROR(IF(L154&gt;VLOOKUP(I154,'DADES VOLUMS'!$A$3:$J$1005,9,FALSE),VLOOKUP(I154,'DADES VOLUMS'!$A$3:$J$1005,9,FALSE),L154),"")</f>
        <v>264.32400238237051</v>
      </c>
      <c r="N154" s="40">
        <f t="shared" ref="N154" si="103">IFERROR(K154*M154/L154,"")</f>
        <v>992.65435775263063</v>
      </c>
      <c r="O154" s="39">
        <f>IFERROR(N154*VLOOKUP(I154,'DADES VOLUMS'!$A$3:$J$1005,6,FALSE),"")</f>
        <v>2977.9630732578917</v>
      </c>
      <c r="P154" s="42">
        <f>IFERROR(O154*VLOOKUP(I154,'DADES VOLUMS'!$A$3:$J$1005,8,FALSE),"")</f>
        <v>7444.9076831447292</v>
      </c>
      <c r="Q154" s="116"/>
      <c r="R154" s="29"/>
      <c r="S154" s="16"/>
      <c r="T154" s="16"/>
      <c r="U154" s="16"/>
      <c r="V154" s="79"/>
      <c r="W154" s="16"/>
    </row>
    <row r="155" spans="1:24">
      <c r="A155" s="46" t="s">
        <v>267</v>
      </c>
      <c r="B155" s="46" t="s">
        <v>270</v>
      </c>
      <c r="C155" s="47">
        <v>220667</v>
      </c>
      <c r="D155" s="14">
        <v>89</v>
      </c>
      <c r="E155" s="13">
        <v>84</v>
      </c>
      <c r="F155" s="13">
        <v>45</v>
      </c>
      <c r="G155" s="19">
        <v>3.5000000000000001E-3</v>
      </c>
      <c r="H155" s="45">
        <f t="shared" si="83"/>
        <v>336420</v>
      </c>
      <c r="I155" s="27" t="s">
        <v>47</v>
      </c>
      <c r="J155" s="31">
        <v>1.2</v>
      </c>
      <c r="K155" s="38">
        <f>IFERROR((VLOOKUP(I155,'DADES VOLUMS'!$A$3:$J$1005,5,FALSE))/(('CÀLCUL QUANTITATS VOLUM'!H155)*('CÀLCUL QUANTITATS VOLUM'!J155)),"")</f>
        <v>59.035580524344567</v>
      </c>
      <c r="L155" s="39">
        <f>IFERROR(G155*K155*VLOOKUP(I155,'DADES VOLUMS'!$A$3:$J$1005,6,FALSE),"")</f>
        <v>0.20662453183520599</v>
      </c>
      <c r="M155" s="39">
        <f>IFERROR(IF(L155&gt;VLOOKUP(I155,'DADES VOLUMS'!$A$3:$J$1005,9,FALSE),VLOOKUP(I155,'DADES VOLUMS'!$A$3:$J$1005,9,FALSE),L155),"")</f>
        <v>0</v>
      </c>
      <c r="N155" s="40">
        <f t="shared" ref="N155" si="104">IFERROR(K155*M155/L155,"")</f>
        <v>0</v>
      </c>
      <c r="O155" s="39">
        <f>IFERROR(N155*VLOOKUP(I155,'DADES VOLUMS'!$A$3:$J$1005,6,FALSE),"")</f>
        <v>0</v>
      </c>
      <c r="P155" s="42">
        <f>IFERROR(O155*VLOOKUP(I155,'DADES VOLUMS'!$A$3:$J$1005,8,FALSE),"")</f>
        <v>0</v>
      </c>
      <c r="Q155" s="116"/>
      <c r="R155" s="29"/>
      <c r="S155" s="16"/>
      <c r="T155" s="16"/>
      <c r="U155" s="16"/>
      <c r="V155" s="79"/>
      <c r="W155" s="16"/>
    </row>
    <row r="156" spans="1:24">
      <c r="A156" s="46" t="s">
        <v>267</v>
      </c>
      <c r="B156" s="46" t="s">
        <v>270</v>
      </c>
      <c r="C156" s="47">
        <v>220667</v>
      </c>
      <c r="D156" s="14">
        <v>89</v>
      </c>
      <c r="E156" s="13">
        <v>84</v>
      </c>
      <c r="F156" s="13">
        <v>45</v>
      </c>
      <c r="G156" s="19">
        <v>3.5000000000000001E-3</v>
      </c>
      <c r="H156" s="45">
        <f t="shared" ref="H156" si="105">F156*E156*D156</f>
        <v>336420</v>
      </c>
      <c r="I156" s="27" t="s">
        <v>131</v>
      </c>
      <c r="J156" s="31">
        <v>1</v>
      </c>
      <c r="K156" s="38">
        <f>IFERROR((VLOOKUP(I156,'DADES VOLUMS'!$A$3:$J$1005,5,FALSE))/(('CÀLCUL QUANTITATS VOLUM'!H156)*('CÀLCUL QUANTITATS VOLUM'!J156)),"")</f>
        <v>535.04547886570356</v>
      </c>
      <c r="L156" s="39">
        <f>IFERROR(G156*K156*VLOOKUP(I156,'DADES VOLUMS'!$A$3:$J$1005,6,FALSE),"")</f>
        <v>1.8726591760299625</v>
      </c>
      <c r="M156" s="39">
        <f>IFERROR(IF(L156&gt;VLOOKUP(I156,'DADES VOLUMS'!$A$3:$J$1005,9,FALSE),VLOOKUP(I156,'DADES VOLUMS'!$A$3:$J$1005,9,FALSE),L156),"")</f>
        <v>1.8726591760299625</v>
      </c>
      <c r="N156" s="40">
        <f t="shared" ref="N156" si="106">IFERROR(K156*M156/L156,"")</f>
        <v>535.04547886570356</v>
      </c>
      <c r="O156" s="39">
        <f>IFERROR(N156*VLOOKUP(I156,'DADES VOLUMS'!$A$3:$J$1005,6,FALSE),"")</f>
        <v>535.04547886570356</v>
      </c>
      <c r="P156" s="42">
        <f>IFERROR(O156*VLOOKUP(I156,'DADES VOLUMS'!$A$3:$J$1005,8,FALSE),"")</f>
        <v>2675.2273943285177</v>
      </c>
      <c r="Q156" s="116"/>
      <c r="R156" s="29"/>
      <c r="S156" s="16"/>
      <c r="T156" s="16"/>
      <c r="U156" s="16"/>
      <c r="V156" s="79"/>
      <c r="W156" s="16"/>
    </row>
    <row r="157" spans="1:24">
      <c r="A157" s="46" t="s">
        <v>268</v>
      </c>
      <c r="B157" s="46" t="s">
        <v>269</v>
      </c>
      <c r="C157" s="47">
        <v>220667</v>
      </c>
      <c r="D157" s="14">
        <v>134</v>
      </c>
      <c r="E157" s="13">
        <v>123</v>
      </c>
      <c r="F157" s="13">
        <v>24.5</v>
      </c>
      <c r="G157" s="19">
        <v>8.3290000000000003E-2</v>
      </c>
      <c r="H157" s="45">
        <f t="shared" ref="H157:H158" si="107">F157*E157*D157</f>
        <v>403809</v>
      </c>
      <c r="I157" s="27" t="s">
        <v>131</v>
      </c>
      <c r="J157" s="31">
        <v>1.2</v>
      </c>
      <c r="K157" s="38">
        <f>IFERROR((VLOOKUP(I157,'DADES VOLUMS'!$A$3:$J$1005,5,FALSE))/(('CÀLCUL QUANTITATS VOLUM'!H157)*('CÀLCUL QUANTITATS VOLUM'!J157)),"")</f>
        <v>371.46274600120353</v>
      </c>
      <c r="L157" s="39">
        <f>IFERROR(G157*K157*VLOOKUP(I157,'DADES VOLUMS'!$A$3:$J$1005,6,FALSE),"")</f>
        <v>30.939132114440241</v>
      </c>
      <c r="M157" s="39">
        <f>IFERROR(IF(L157&gt;VLOOKUP(I157,'DADES VOLUMS'!$A$3:$J$1005,9,FALSE),VLOOKUP(I157,'DADES VOLUMS'!$A$3:$J$1005,9,FALSE),L157),"")</f>
        <v>30.939132114440241</v>
      </c>
      <c r="N157" s="40">
        <f t="shared" ref="N157" si="108">IFERROR(K157*M157/L157,"")</f>
        <v>371.46274600120353</v>
      </c>
      <c r="O157" s="39">
        <f>IFERROR(N157*VLOOKUP(I157,'DADES VOLUMS'!$A$3:$J$1005,6,FALSE),"")</f>
        <v>371.46274600120353</v>
      </c>
      <c r="P157" s="42">
        <f>IFERROR(O157*VLOOKUP(I157,'DADES VOLUMS'!$A$3:$J$1005,8,FALSE),"")</f>
        <v>1857.3137300060175</v>
      </c>
      <c r="Q157" s="116"/>
      <c r="R157" s="29"/>
      <c r="S157" s="16"/>
      <c r="T157" s="16"/>
      <c r="U157" s="16"/>
      <c r="V157" s="79"/>
      <c r="W157" s="16"/>
    </row>
    <row r="158" spans="1:24">
      <c r="A158" s="46" t="s">
        <v>273</v>
      </c>
      <c r="B158" s="46" t="s">
        <v>274</v>
      </c>
      <c r="C158" s="47">
        <v>71750</v>
      </c>
      <c r="D158" s="14">
        <v>175</v>
      </c>
      <c r="E158" s="13">
        <v>75</v>
      </c>
      <c r="F158" s="13">
        <v>58</v>
      </c>
      <c r="G158" s="19">
        <v>0.18611</v>
      </c>
      <c r="H158" s="45">
        <f t="shared" si="107"/>
        <v>761250</v>
      </c>
      <c r="I158" s="27" t="s">
        <v>131</v>
      </c>
      <c r="J158" s="31">
        <v>0.75</v>
      </c>
      <c r="K158" s="38">
        <f>IFERROR((VLOOKUP(I158,'DADES VOLUMS'!$A$3:$J$1005,5,FALSE))/(('CÀLCUL QUANTITATS VOLUM'!H158)*('CÀLCUL QUANTITATS VOLUM'!J158)),"")</f>
        <v>315.27093596059115</v>
      </c>
      <c r="L158" s="39">
        <f>IFERROR(G158*K158*VLOOKUP(I158,'DADES VOLUMS'!$A$3:$J$1005,6,FALSE),"")</f>
        <v>58.675073891625615</v>
      </c>
      <c r="M158" s="39">
        <f>IFERROR(IF(L158&gt;VLOOKUP(I158,'DADES VOLUMS'!$A$3:$J$1005,9,FALSE),VLOOKUP(I158,'DADES VOLUMS'!$A$3:$J$1005,9,FALSE),L158),"")</f>
        <v>58.675073891625615</v>
      </c>
      <c r="N158" s="40">
        <f t="shared" ref="N158" si="109">IFERROR(K158*M158/L158,"")</f>
        <v>315.27093596059115</v>
      </c>
      <c r="O158" s="39">
        <f>IFERROR(N158*VLOOKUP(I158,'DADES VOLUMS'!$A$3:$J$1005,6,FALSE),"")</f>
        <v>315.27093596059115</v>
      </c>
      <c r="P158" s="42">
        <f>IFERROR(O158*VLOOKUP(I158,'DADES VOLUMS'!$A$3:$J$1005,8,FALSE),"")</f>
        <v>1576.3546798029556</v>
      </c>
      <c r="Q158" s="116"/>
      <c r="R158" s="29"/>
      <c r="S158" s="16"/>
      <c r="T158" s="16"/>
      <c r="U158" s="16"/>
      <c r="V158" s="79"/>
      <c r="W158" s="16"/>
    </row>
    <row r="159" spans="1:24">
      <c r="A159" s="46" t="s">
        <v>273</v>
      </c>
      <c r="B159" s="46" t="s">
        <v>274</v>
      </c>
      <c r="C159" s="47">
        <v>71750</v>
      </c>
      <c r="D159" s="14">
        <v>175</v>
      </c>
      <c r="E159" s="13">
        <v>75</v>
      </c>
      <c r="F159" s="13">
        <v>58</v>
      </c>
      <c r="G159" s="19">
        <v>0.18611</v>
      </c>
      <c r="H159" s="45">
        <f t="shared" ref="H159:H179" si="110">F159*E159*D159</f>
        <v>761250</v>
      </c>
      <c r="I159" s="27" t="s">
        <v>67</v>
      </c>
      <c r="J159" s="31">
        <v>0.5</v>
      </c>
      <c r="K159" s="38">
        <f>IFERROR((VLOOKUP(I159,'DADES VOLUMS'!$A$3:$J$1005,5,FALSE))/(('CÀLCUL QUANTITATS VOLUM'!H159)*('CÀLCUL QUANTITATS VOLUM'!J159)),"")</f>
        <v>36.88669950738916</v>
      </c>
      <c r="L159" s="39">
        <f>IFERROR(G159*K159*VLOOKUP(I159,'DADES VOLUMS'!$A$3:$J$1005,6,FALSE),"")</f>
        <v>6.8649836453201969</v>
      </c>
      <c r="M159" s="39">
        <f>IFERROR(IF(L159&gt;VLOOKUP(I159,'DADES VOLUMS'!$A$3:$J$1005,9,FALSE),VLOOKUP(I159,'DADES VOLUMS'!$A$3:$J$1005,9,FALSE),L159),"")</f>
        <v>0</v>
      </c>
      <c r="N159" s="40">
        <f t="shared" ref="N159" si="111">IFERROR(K159*M159/L159,"")</f>
        <v>0</v>
      </c>
      <c r="O159" s="39">
        <f>IFERROR(N159*VLOOKUP(I159,'DADES VOLUMS'!$A$3:$J$1005,6,FALSE),"")</f>
        <v>0</v>
      </c>
      <c r="P159" s="42">
        <f>IFERROR(O159*VLOOKUP(I159,'DADES VOLUMS'!$A$3:$J$1005,8,FALSE),"")</f>
        <v>0</v>
      </c>
      <c r="Q159" s="116"/>
      <c r="R159" s="29"/>
      <c r="S159" s="16"/>
      <c r="T159" s="16"/>
      <c r="U159" s="16"/>
      <c r="V159" s="79"/>
      <c r="W159" s="16"/>
    </row>
    <row r="160" spans="1:24">
      <c r="A160" s="46" t="s">
        <v>273</v>
      </c>
      <c r="B160" s="46" t="s">
        <v>275</v>
      </c>
      <c r="C160" s="47">
        <v>71750</v>
      </c>
      <c r="D160" s="14">
        <v>175</v>
      </c>
      <c r="E160" s="13">
        <v>75</v>
      </c>
      <c r="F160" s="13">
        <v>58</v>
      </c>
      <c r="G160" s="19">
        <v>0.18611</v>
      </c>
      <c r="H160" s="45">
        <f t="shared" si="110"/>
        <v>761250</v>
      </c>
      <c r="I160" s="27" t="s">
        <v>131</v>
      </c>
      <c r="J160" s="31">
        <v>0.75</v>
      </c>
      <c r="K160" s="38">
        <f>IFERROR((VLOOKUP(I160,'DADES VOLUMS'!$A$3:$J$1005,5,FALSE))/(('CÀLCUL QUANTITATS VOLUM'!H160)*('CÀLCUL QUANTITATS VOLUM'!J160)),"")</f>
        <v>315.27093596059115</v>
      </c>
      <c r="L160" s="39">
        <f>IFERROR(G160*K160*VLOOKUP(I160,'DADES VOLUMS'!$A$3:$J$1005,6,FALSE),"")</f>
        <v>58.675073891625615</v>
      </c>
      <c r="M160" s="39">
        <f>IFERROR(IF(L160&gt;VLOOKUP(I160,'DADES VOLUMS'!$A$3:$J$1005,9,FALSE),VLOOKUP(I160,'DADES VOLUMS'!$A$3:$J$1005,9,FALSE),L160),"")</f>
        <v>58.675073891625615</v>
      </c>
      <c r="N160" s="40">
        <f t="shared" ref="N160:N161" si="112">IFERROR(K160*M160/L160,"")</f>
        <v>315.27093596059115</v>
      </c>
      <c r="O160" s="39">
        <f>IFERROR(N160*VLOOKUP(I160,'DADES VOLUMS'!$A$3:$J$1005,6,FALSE),"")</f>
        <v>315.27093596059115</v>
      </c>
      <c r="P160" s="42">
        <f>IFERROR(O160*VLOOKUP(I160,'DADES VOLUMS'!$A$3:$J$1005,8,FALSE),"")</f>
        <v>1576.3546798029556</v>
      </c>
      <c r="Q160" s="116"/>
      <c r="R160" s="29"/>
      <c r="S160" s="16"/>
      <c r="T160" s="16"/>
      <c r="U160" s="16"/>
      <c r="V160" s="79"/>
      <c r="W160" s="16"/>
    </row>
    <row r="161" spans="1:23">
      <c r="A161" s="46" t="s">
        <v>273</v>
      </c>
      <c r="B161" s="46" t="s">
        <v>275</v>
      </c>
      <c r="C161" s="47">
        <v>71750</v>
      </c>
      <c r="D161" s="14">
        <v>175</v>
      </c>
      <c r="E161" s="13">
        <v>75</v>
      </c>
      <c r="F161" s="13">
        <v>58</v>
      </c>
      <c r="G161" s="19">
        <v>0.18611</v>
      </c>
      <c r="H161" s="45">
        <f t="shared" si="110"/>
        <v>761250</v>
      </c>
      <c r="I161" s="27" t="s">
        <v>67</v>
      </c>
      <c r="J161" s="31">
        <v>0.5</v>
      </c>
      <c r="K161" s="38">
        <f>IFERROR((VLOOKUP(I161,'DADES VOLUMS'!$A$3:$J$1005,5,FALSE))/(('CÀLCUL QUANTITATS VOLUM'!H161)*('CÀLCUL QUANTITATS VOLUM'!J161)),"")</f>
        <v>36.88669950738916</v>
      </c>
      <c r="L161" s="39">
        <f>IFERROR(G161*K161*VLOOKUP(I161,'DADES VOLUMS'!$A$3:$J$1005,6,FALSE),"")</f>
        <v>6.8649836453201969</v>
      </c>
      <c r="M161" s="39">
        <f>IFERROR(IF(L161&gt;VLOOKUP(I161,'DADES VOLUMS'!$A$3:$J$1005,9,FALSE),VLOOKUP(I161,'DADES VOLUMS'!$A$3:$J$1005,9,FALSE),L161),"")</f>
        <v>0</v>
      </c>
      <c r="N161" s="40">
        <f t="shared" si="112"/>
        <v>0</v>
      </c>
      <c r="O161" s="39">
        <f>IFERROR(N161*VLOOKUP(I161,'DADES VOLUMS'!$A$3:$J$1005,6,FALSE),"")</f>
        <v>0</v>
      </c>
      <c r="P161" s="42">
        <f>IFERROR(O161*VLOOKUP(I161,'DADES VOLUMS'!$A$3:$J$1005,8,FALSE),"")</f>
        <v>0</v>
      </c>
      <c r="Q161" s="116"/>
      <c r="R161" s="29"/>
      <c r="S161" s="16"/>
      <c r="T161" s="16"/>
      <c r="U161" s="16"/>
      <c r="V161" s="79"/>
      <c r="W161" s="16"/>
    </row>
    <row r="162" spans="1:23">
      <c r="A162" s="46" t="s">
        <v>273</v>
      </c>
      <c r="B162" s="46" t="s">
        <v>276</v>
      </c>
      <c r="C162" s="47">
        <v>71750</v>
      </c>
      <c r="D162" s="14">
        <v>222</v>
      </c>
      <c r="E162" s="13">
        <v>77</v>
      </c>
      <c r="F162" s="13">
        <v>49</v>
      </c>
      <c r="G162" s="19">
        <v>0.22434000000000001</v>
      </c>
      <c r="H162" s="45">
        <f t="shared" si="110"/>
        <v>837606</v>
      </c>
      <c r="I162" s="27" t="s">
        <v>131</v>
      </c>
      <c r="J162" s="31">
        <v>0.75</v>
      </c>
      <c r="K162" s="38">
        <f>IFERROR((VLOOKUP(I162,'DADES VOLUMS'!$A$3:$J$1005,5,FALSE))/(('CÀLCUL QUANTITATS VOLUM'!H162)*('CÀLCUL QUANTITATS VOLUM'!J162)),"")</f>
        <v>286.53089877579674</v>
      </c>
      <c r="L162" s="39">
        <f>IFERROR(G162*K162*VLOOKUP(I162,'DADES VOLUMS'!$A$3:$J$1005,6,FALSE),"")</f>
        <v>64.28034183136225</v>
      </c>
      <c r="M162" s="39">
        <f>IFERROR(IF(L162&gt;VLOOKUP(I162,'DADES VOLUMS'!$A$3:$J$1005,9,FALSE),VLOOKUP(I162,'DADES VOLUMS'!$A$3:$J$1005,9,FALSE),L162),"")</f>
        <v>64.28034183136225</v>
      </c>
      <c r="N162" s="40">
        <f t="shared" ref="N162:N170" si="113">IFERROR(K162*M162/L162,"")</f>
        <v>286.53089877579674</v>
      </c>
      <c r="O162" s="39">
        <f>IFERROR(N162*VLOOKUP(I162,'DADES VOLUMS'!$A$3:$J$1005,6,FALSE),"")</f>
        <v>286.53089877579674</v>
      </c>
      <c r="P162" s="42">
        <f>IFERROR(O162*VLOOKUP(I162,'DADES VOLUMS'!$A$3:$J$1005,8,FALSE),"")</f>
        <v>1432.6544938789837</v>
      </c>
      <c r="Q162" s="116"/>
      <c r="R162" s="29"/>
      <c r="S162" s="16"/>
      <c r="T162" s="16"/>
      <c r="U162" s="16"/>
      <c r="V162" s="79"/>
      <c r="W162" s="16"/>
    </row>
    <row r="163" spans="1:23">
      <c r="A163" s="46" t="s">
        <v>273</v>
      </c>
      <c r="B163" s="46" t="s">
        <v>277</v>
      </c>
      <c r="C163" s="47">
        <v>71750</v>
      </c>
      <c r="D163" s="14">
        <v>222</v>
      </c>
      <c r="E163" s="13">
        <v>77</v>
      </c>
      <c r="F163" s="13">
        <v>49</v>
      </c>
      <c r="G163" s="19">
        <v>0.22434000000000001</v>
      </c>
      <c r="H163" s="45">
        <f t="shared" si="110"/>
        <v>837606</v>
      </c>
      <c r="I163" s="27" t="s">
        <v>67</v>
      </c>
      <c r="J163" s="31">
        <v>0.5</v>
      </c>
      <c r="K163" s="38">
        <f>IFERROR((VLOOKUP(I163,'DADES VOLUMS'!$A$3:$J$1005,5,FALSE))/(('CÀLCUL QUANTITATS VOLUM'!H163)*('CÀLCUL QUANTITATS VOLUM'!J163)),"")</f>
        <v>33.524115156768218</v>
      </c>
      <c r="L163" s="39">
        <f>IFERROR(G163*K163*VLOOKUP(I163,'DADES VOLUMS'!$A$3:$J$1005,6,FALSE),"")</f>
        <v>7.5207999942693826</v>
      </c>
      <c r="M163" s="39">
        <f>IFERROR(IF(L163&gt;VLOOKUP(I163,'DADES VOLUMS'!$A$3:$J$1005,9,FALSE),VLOOKUP(I163,'DADES VOLUMS'!$A$3:$J$1005,9,FALSE),L163),"")</f>
        <v>0</v>
      </c>
      <c r="N163" s="40">
        <f t="shared" si="113"/>
        <v>0</v>
      </c>
      <c r="O163" s="39">
        <f>IFERROR(N163*VLOOKUP(I163,'DADES VOLUMS'!$A$3:$J$1005,6,FALSE),"")</f>
        <v>0</v>
      </c>
      <c r="P163" s="42">
        <f>IFERROR(O163*VLOOKUP(I163,'DADES VOLUMS'!$A$3:$J$1005,8,FALSE),"")</f>
        <v>0</v>
      </c>
      <c r="Q163" s="116"/>
      <c r="R163" s="29"/>
      <c r="S163" s="16"/>
      <c r="T163" s="16"/>
      <c r="U163" s="16"/>
      <c r="V163" s="79"/>
      <c r="W163" s="16"/>
    </row>
    <row r="164" spans="1:23">
      <c r="A164" s="46" t="s">
        <v>273</v>
      </c>
      <c r="B164" s="46" t="s">
        <v>278</v>
      </c>
      <c r="C164" s="47">
        <v>71750</v>
      </c>
      <c r="D164" s="14">
        <v>222</v>
      </c>
      <c r="E164" s="13">
        <v>77</v>
      </c>
      <c r="F164" s="13">
        <v>49</v>
      </c>
      <c r="G164" s="19">
        <v>0.22434000000000001</v>
      </c>
      <c r="H164" s="45">
        <f t="shared" si="110"/>
        <v>837606</v>
      </c>
      <c r="I164" s="27" t="s">
        <v>131</v>
      </c>
      <c r="J164" s="31">
        <v>0.75</v>
      </c>
      <c r="K164" s="38">
        <f>IFERROR((VLOOKUP(I164,'DADES VOLUMS'!$A$3:$J$1005,5,FALSE))/(('CÀLCUL QUANTITATS VOLUM'!H164)*('CÀLCUL QUANTITATS VOLUM'!J164)),"")</f>
        <v>286.53089877579674</v>
      </c>
      <c r="L164" s="39">
        <f>IFERROR(G164*K164*VLOOKUP(I164,'DADES VOLUMS'!$A$3:$J$1005,6,FALSE),"")</f>
        <v>64.28034183136225</v>
      </c>
      <c r="M164" s="39">
        <f>IFERROR(IF(L164&gt;VLOOKUP(I164,'DADES VOLUMS'!$A$3:$J$1005,9,FALSE),VLOOKUP(I164,'DADES VOLUMS'!$A$3:$J$1005,9,FALSE),L164),"")</f>
        <v>64.28034183136225</v>
      </c>
      <c r="N164" s="40">
        <f t="shared" si="113"/>
        <v>286.53089877579674</v>
      </c>
      <c r="O164" s="39">
        <f>IFERROR(N164*VLOOKUP(I164,'DADES VOLUMS'!$A$3:$J$1005,6,FALSE),"")</f>
        <v>286.53089877579674</v>
      </c>
      <c r="P164" s="42">
        <f>IFERROR(O164*VLOOKUP(I164,'DADES VOLUMS'!$A$3:$J$1005,8,FALSE),"")</f>
        <v>1432.6544938789837</v>
      </c>
      <c r="Q164" s="116"/>
      <c r="R164" s="29"/>
      <c r="S164" s="16"/>
      <c r="T164" s="16"/>
      <c r="U164" s="16"/>
      <c r="V164" s="79"/>
      <c r="W164" s="16"/>
    </row>
    <row r="165" spans="1:23">
      <c r="A165" s="46" t="s">
        <v>273</v>
      </c>
      <c r="B165" s="46" t="s">
        <v>279</v>
      </c>
      <c r="C165" s="47">
        <v>71750</v>
      </c>
      <c r="D165" s="14">
        <v>222</v>
      </c>
      <c r="E165" s="13">
        <v>77</v>
      </c>
      <c r="F165" s="13">
        <v>49</v>
      </c>
      <c r="G165" s="19">
        <v>0.22434000000000001</v>
      </c>
      <c r="H165" s="45">
        <f t="shared" si="110"/>
        <v>837606</v>
      </c>
      <c r="I165" s="27" t="s">
        <v>67</v>
      </c>
      <c r="J165" s="31">
        <v>0.5</v>
      </c>
      <c r="K165" s="38">
        <f>IFERROR((VLOOKUP(I165,'DADES VOLUMS'!$A$3:$J$1005,5,FALSE))/(('CÀLCUL QUANTITATS VOLUM'!H165)*('CÀLCUL QUANTITATS VOLUM'!J165)),"")</f>
        <v>33.524115156768218</v>
      </c>
      <c r="L165" s="39">
        <f>IFERROR(G165*K165*VLOOKUP(I165,'DADES VOLUMS'!$A$3:$J$1005,6,FALSE),"")</f>
        <v>7.5207999942693826</v>
      </c>
      <c r="M165" s="39">
        <f>IFERROR(IF(L165&gt;VLOOKUP(I165,'DADES VOLUMS'!$A$3:$J$1005,9,FALSE),VLOOKUP(I165,'DADES VOLUMS'!$A$3:$J$1005,9,FALSE),L165),"")</f>
        <v>0</v>
      </c>
      <c r="N165" s="40">
        <f t="shared" si="113"/>
        <v>0</v>
      </c>
      <c r="O165" s="39">
        <f>IFERROR(N165*VLOOKUP(I165,'DADES VOLUMS'!$A$3:$J$1005,6,FALSE),"")</f>
        <v>0</v>
      </c>
      <c r="P165" s="42">
        <f>IFERROR(O165*VLOOKUP(I165,'DADES VOLUMS'!$A$3:$J$1005,8,FALSE),"")</f>
        <v>0</v>
      </c>
      <c r="Q165" s="116"/>
      <c r="R165" s="29"/>
      <c r="S165" s="16"/>
      <c r="T165" s="16"/>
      <c r="U165" s="16"/>
      <c r="V165" s="79"/>
      <c r="W165" s="16"/>
    </row>
    <row r="166" spans="1:23">
      <c r="A166" s="46" t="s">
        <v>283</v>
      </c>
      <c r="B166" s="46" t="s">
        <v>203</v>
      </c>
      <c r="C166" s="47">
        <v>65000</v>
      </c>
      <c r="D166" s="14">
        <v>180</v>
      </c>
      <c r="E166" s="13">
        <v>86</v>
      </c>
      <c r="F166" s="13">
        <v>35</v>
      </c>
      <c r="G166" s="19">
        <v>0.17899999999999999</v>
      </c>
      <c r="H166" s="45">
        <f t="shared" si="110"/>
        <v>541800</v>
      </c>
      <c r="I166" s="27" t="s">
        <v>46</v>
      </c>
      <c r="J166" s="31">
        <v>0.6</v>
      </c>
      <c r="K166" s="38">
        <f>IFERROR((VLOOKUP(I166,'DADES VOLUMS'!$A$3:$J$1005,5,FALSE))/(('CÀLCUL QUANTITATS VOLUM'!H166)*('CÀLCUL QUANTITATS VOLUM'!J166)),"")</f>
        <v>50.629844961240309</v>
      </c>
      <c r="L166" s="39">
        <f>IFERROR(G166*K166*VLOOKUP(I166,'DADES VOLUMS'!$A$3:$J$1005,6,FALSE),"")</f>
        <v>9.0627422480620154</v>
      </c>
      <c r="M166" s="39">
        <f>IFERROR(IF(L166&gt;VLOOKUP(I166,'DADES VOLUMS'!$A$3:$J$1005,9,FALSE),VLOOKUP(I166,'DADES VOLUMS'!$A$3:$J$1005,9,FALSE),L166),"")</f>
        <v>0</v>
      </c>
      <c r="N166" s="40">
        <f t="shared" ref="N166" si="114">IFERROR(K166*M166/L166,"")</f>
        <v>0</v>
      </c>
      <c r="O166" s="39">
        <f>IFERROR(N166*VLOOKUP(I166,'DADES VOLUMS'!$A$3:$J$1005,6,FALSE),"")</f>
        <v>0</v>
      </c>
      <c r="P166" s="42">
        <f>IFERROR(O166*VLOOKUP(I166,'DADES VOLUMS'!$A$3:$J$1005,8,FALSE),"")</f>
        <v>0</v>
      </c>
      <c r="Q166" s="116"/>
      <c r="R166" s="29"/>
      <c r="S166" s="16"/>
      <c r="T166" s="16"/>
      <c r="U166" s="16"/>
      <c r="V166" s="79"/>
      <c r="W166" s="16"/>
    </row>
    <row r="167" spans="1:23">
      <c r="A167" s="46" t="s">
        <v>283</v>
      </c>
      <c r="B167" s="46" t="s">
        <v>203</v>
      </c>
      <c r="C167" s="47">
        <v>65000</v>
      </c>
      <c r="D167" s="14">
        <v>180</v>
      </c>
      <c r="E167" s="13">
        <v>86</v>
      </c>
      <c r="F167" s="13">
        <v>35</v>
      </c>
      <c r="G167" s="19">
        <v>0.17899999999999999</v>
      </c>
      <c r="H167" s="45">
        <f t="shared" ref="H167" si="115">F167*E167*D167</f>
        <v>541800</v>
      </c>
      <c r="I167" s="27" t="s">
        <v>131</v>
      </c>
      <c r="J167" s="31">
        <v>1</v>
      </c>
      <c r="K167" s="38">
        <f>IFERROR((VLOOKUP(I167,'DADES VOLUMS'!$A$3:$J$1005,5,FALSE))/(('CÀLCUL QUANTITATS VOLUM'!H167)*('CÀLCUL QUANTITATS VOLUM'!J167)),"")</f>
        <v>332.22591362126246</v>
      </c>
      <c r="L167" s="39">
        <f>IFERROR(G167*K167*VLOOKUP(I167,'DADES VOLUMS'!$A$3:$J$1005,6,FALSE),"")</f>
        <v>59.46843853820598</v>
      </c>
      <c r="M167" s="39">
        <f>IFERROR(IF(L167&gt;VLOOKUP(I167,'DADES VOLUMS'!$A$3:$J$1005,9,FALSE),VLOOKUP(I167,'DADES VOLUMS'!$A$3:$J$1005,9,FALSE),L167),"")</f>
        <v>59.46843853820598</v>
      </c>
      <c r="N167" s="40">
        <f t="shared" ref="N167" si="116">IFERROR(K167*M167/L167,"")</f>
        <v>332.22591362126246</v>
      </c>
      <c r="O167" s="39">
        <f>IFERROR(N167*VLOOKUP(I167,'DADES VOLUMS'!$A$3:$J$1005,6,FALSE),"")</f>
        <v>332.22591362126246</v>
      </c>
      <c r="P167" s="42">
        <f>IFERROR(O167*VLOOKUP(I167,'DADES VOLUMS'!$A$3:$J$1005,8,FALSE),"")</f>
        <v>1661.1295681063123</v>
      </c>
      <c r="Q167" s="116"/>
      <c r="R167" s="29"/>
      <c r="S167" s="16"/>
      <c r="T167" s="16"/>
      <c r="U167" s="16"/>
      <c r="V167" s="79"/>
      <c r="W167" s="16"/>
    </row>
    <row r="168" spans="1:23">
      <c r="A168" s="46" t="s">
        <v>282</v>
      </c>
      <c r="B168" s="46" t="s">
        <v>248</v>
      </c>
      <c r="C168" s="47">
        <v>60000</v>
      </c>
      <c r="D168" s="14">
        <v>190</v>
      </c>
      <c r="E168" s="13">
        <v>37</v>
      </c>
      <c r="F168" s="13">
        <v>15</v>
      </c>
      <c r="G168" s="19">
        <v>5.6759999999999998E-2</v>
      </c>
      <c r="H168" s="45">
        <f t="shared" si="110"/>
        <v>105450</v>
      </c>
      <c r="I168" s="27" t="s">
        <v>131</v>
      </c>
      <c r="J168" s="31">
        <v>1</v>
      </c>
      <c r="K168" s="38">
        <f>IFERROR((VLOOKUP(I168,'DADES VOLUMS'!$A$3:$J$1005,5,FALSE))/(('CÀLCUL QUANTITATS VOLUM'!H168)*('CÀLCUL QUANTITATS VOLUM'!J168)),"")</f>
        <v>1706.9701280227596</v>
      </c>
      <c r="L168" s="39">
        <f>IFERROR(G168*K168*VLOOKUP(I168,'DADES VOLUMS'!$A$3:$J$1005,6,FALSE),"")</f>
        <v>96.887624466571836</v>
      </c>
      <c r="M168" s="39">
        <f>IFERROR(IF(L168&gt;VLOOKUP(I168,'DADES VOLUMS'!$A$3:$J$1005,9,FALSE),VLOOKUP(I168,'DADES VOLUMS'!$A$3:$J$1005,9,FALSE),L168),"")</f>
        <v>96.887624466571836</v>
      </c>
      <c r="N168" s="40">
        <f t="shared" ref="N168" si="117">IFERROR(K168*M168/L168,"")</f>
        <v>1706.9701280227596</v>
      </c>
      <c r="O168" s="39">
        <f>IFERROR(N168*VLOOKUP(I168,'DADES VOLUMS'!$A$3:$J$1005,6,FALSE),"")</f>
        <v>1706.9701280227596</v>
      </c>
      <c r="P168" s="42">
        <f>IFERROR(O168*VLOOKUP(I168,'DADES VOLUMS'!$A$3:$J$1005,8,FALSE),"")</f>
        <v>8534.8506401137984</v>
      </c>
      <c r="Q168" s="116"/>
      <c r="R168" s="29"/>
      <c r="S168" s="16"/>
      <c r="T168" s="16"/>
      <c r="U168" s="16"/>
      <c r="V168" s="79"/>
      <c r="W168" s="16"/>
    </row>
    <row r="169" spans="1:23">
      <c r="A169" s="46" t="s">
        <v>280</v>
      </c>
      <c r="B169" s="46" t="s">
        <v>281</v>
      </c>
      <c r="C169" s="47">
        <v>21000</v>
      </c>
      <c r="D169" s="14">
        <v>145</v>
      </c>
      <c r="E169" s="13">
        <v>49</v>
      </c>
      <c r="F169" s="13">
        <v>20</v>
      </c>
      <c r="G169" s="19">
        <v>0.1283</v>
      </c>
      <c r="H169" s="45">
        <f t="shared" si="110"/>
        <v>142100</v>
      </c>
      <c r="I169" s="27" t="s">
        <v>46</v>
      </c>
      <c r="J169" s="31">
        <v>1.2</v>
      </c>
      <c r="K169" s="38">
        <f>IFERROR((VLOOKUP(I169,'DADES VOLUMS'!$A$3:$J$1005,5,FALSE))/(('CÀLCUL QUANTITATS VOLUM'!H169)*('CÀLCUL QUANTITATS VOLUM'!J169)),"")</f>
        <v>96.520935960591132</v>
      </c>
      <c r="L169" s="39">
        <f>IFERROR(G169*K169*VLOOKUP(I169,'DADES VOLUMS'!$A$3:$J$1005,6,FALSE),"")</f>
        <v>12.383636083743841</v>
      </c>
      <c r="M169" s="39">
        <f>IFERROR(IF(L169&gt;VLOOKUP(I169,'DADES VOLUMS'!$A$3:$J$1005,9,FALSE),VLOOKUP(I169,'DADES VOLUMS'!$A$3:$J$1005,9,FALSE),L169),"")</f>
        <v>0</v>
      </c>
      <c r="N169" s="40">
        <f t="shared" ref="N169" si="118">IFERROR(K169*M169/L169,"")</f>
        <v>0</v>
      </c>
      <c r="O169" s="39">
        <f>IFERROR(N169*VLOOKUP(I169,'DADES VOLUMS'!$A$3:$J$1005,6,FALSE),"")</f>
        <v>0</v>
      </c>
      <c r="P169" s="42">
        <f>IFERROR(O169*VLOOKUP(I169,'DADES VOLUMS'!$A$3:$J$1005,8,FALSE),"")</f>
        <v>0</v>
      </c>
      <c r="Q169" s="116"/>
      <c r="R169" s="29"/>
      <c r="S169" s="16"/>
      <c r="T169" s="16"/>
      <c r="U169" s="16"/>
      <c r="V169" s="79"/>
      <c r="W169" s="16"/>
    </row>
    <row r="170" spans="1:23">
      <c r="A170" s="46" t="s">
        <v>271</v>
      </c>
      <c r="B170" s="46" t="s">
        <v>272</v>
      </c>
      <c r="C170" s="47">
        <v>1200000</v>
      </c>
      <c r="D170" s="14">
        <v>49.75</v>
      </c>
      <c r="E170" s="13">
        <v>49.75</v>
      </c>
      <c r="F170" s="13">
        <v>21</v>
      </c>
      <c r="G170" s="19">
        <v>6.2350000000000003E-2</v>
      </c>
      <c r="H170" s="45">
        <f t="shared" si="110"/>
        <v>51976.3125</v>
      </c>
      <c r="I170" s="27" t="s">
        <v>131</v>
      </c>
      <c r="J170" s="31">
        <v>1.2</v>
      </c>
      <c r="K170" s="38">
        <f>IFERROR((VLOOKUP(I170,'DADES VOLUMS'!$A$3:$J$1005,5,FALSE))/(('CÀLCUL QUANTITATS VOLUM'!H170)*('CÀLCUL QUANTITATS VOLUM'!J170)),"")</f>
        <v>2885.9300089824574</v>
      </c>
      <c r="L170" s="39">
        <f>IFERROR(G170*K170*VLOOKUP(I170,'DADES VOLUMS'!$A$3:$J$1005,6,FALSE),"")</f>
        <v>179.93773606005624</v>
      </c>
      <c r="M170" s="39">
        <f>IFERROR(IF(L170&gt;VLOOKUP(I170,'DADES VOLUMS'!$A$3:$J$1005,9,FALSE),VLOOKUP(I170,'DADES VOLUMS'!$A$3:$J$1005,9,FALSE),L170),"")</f>
        <v>179.93773606005624</v>
      </c>
      <c r="N170" s="40">
        <f t="shared" si="113"/>
        <v>2885.9300089824574</v>
      </c>
      <c r="O170" s="39">
        <f>IFERROR(N170*VLOOKUP(I170,'DADES VOLUMS'!$A$3:$J$1005,6,FALSE),"")</f>
        <v>2885.9300089824574</v>
      </c>
      <c r="P170" s="42">
        <f>IFERROR(O170*VLOOKUP(I170,'DADES VOLUMS'!$A$3:$J$1005,8,FALSE),"")</f>
        <v>14429.650044912287</v>
      </c>
      <c r="Q170" s="116"/>
      <c r="R170" s="29"/>
      <c r="S170" s="16"/>
      <c r="T170" s="16"/>
      <c r="U170" s="16"/>
      <c r="V170" s="79"/>
      <c r="W170" s="16"/>
    </row>
    <row r="171" spans="1:23">
      <c r="A171" s="46" t="s">
        <v>284</v>
      </c>
      <c r="B171" s="46" t="s">
        <v>285</v>
      </c>
      <c r="C171" s="47">
        <v>193000</v>
      </c>
      <c r="D171" s="14">
        <v>44</v>
      </c>
      <c r="E171" s="13">
        <v>44</v>
      </c>
      <c r="F171" s="13">
        <v>10</v>
      </c>
      <c r="G171" s="19">
        <v>1.316E-2</v>
      </c>
      <c r="H171" s="45">
        <f t="shared" si="110"/>
        <v>19360</v>
      </c>
      <c r="I171" s="27" t="s">
        <v>46</v>
      </c>
      <c r="J171" s="31">
        <v>1.2</v>
      </c>
      <c r="K171" s="38">
        <f>IFERROR((VLOOKUP(I171,'DADES VOLUMS'!$A$3:$J$1005,5,FALSE))/(('CÀLCUL QUANTITATS VOLUM'!H171)*('CÀLCUL QUANTITATS VOLUM'!J171)),"")</f>
        <v>708.4517045454545</v>
      </c>
      <c r="L171" s="39">
        <f>IFERROR(G171*K171*VLOOKUP(I171,'DADES VOLUMS'!$A$3:$J$1005,6,FALSE),"")</f>
        <v>9.3232244318181809</v>
      </c>
      <c r="M171" s="39">
        <f>IFERROR(IF(L171&gt;VLOOKUP(I171,'DADES VOLUMS'!$A$3:$J$1005,9,FALSE),VLOOKUP(I171,'DADES VOLUMS'!$A$3:$J$1005,9,FALSE),L171),"")</f>
        <v>0</v>
      </c>
      <c r="N171" s="40">
        <f t="shared" ref="N171" si="119">IFERROR(K171*M171/L171,"")</f>
        <v>0</v>
      </c>
      <c r="O171" s="39">
        <f>IFERROR(N171*VLOOKUP(I171,'DADES VOLUMS'!$A$3:$J$1005,6,FALSE),"")</f>
        <v>0</v>
      </c>
      <c r="P171" s="42">
        <f>IFERROR(O171*VLOOKUP(I171,'DADES VOLUMS'!$A$3:$J$1005,8,FALSE),"")</f>
        <v>0</v>
      </c>
      <c r="Q171" s="116"/>
      <c r="R171" s="29"/>
      <c r="S171" s="16"/>
      <c r="T171" s="16"/>
      <c r="U171" s="16"/>
      <c r="V171" s="79"/>
      <c r="W171" s="16"/>
    </row>
    <row r="172" spans="1:23">
      <c r="A172" s="46" t="s">
        <v>287</v>
      </c>
      <c r="B172" s="46" t="s">
        <v>250</v>
      </c>
      <c r="C172" s="47">
        <v>300000</v>
      </c>
      <c r="D172" s="14">
        <v>115</v>
      </c>
      <c r="E172" s="13">
        <v>96</v>
      </c>
      <c r="F172" s="13">
        <v>11</v>
      </c>
      <c r="G172" s="19">
        <v>5.2780000000000001E-2</v>
      </c>
      <c r="H172" s="45">
        <f t="shared" si="110"/>
        <v>121440</v>
      </c>
      <c r="I172" s="27" t="s">
        <v>131</v>
      </c>
      <c r="J172" s="31">
        <v>1.2</v>
      </c>
      <c r="K172" s="38">
        <f>IFERROR((VLOOKUP(I172,'DADES VOLUMS'!$A$3:$J$1005,5,FALSE))/(('CÀLCUL QUANTITATS VOLUM'!H172)*('CÀLCUL QUANTITATS VOLUM'!J172)),"")</f>
        <v>1235.1778656126482</v>
      </c>
      <c r="L172" s="39">
        <f>IFERROR(G172*K172*VLOOKUP(I172,'DADES VOLUMS'!$A$3:$J$1005,6,FALSE),"")</f>
        <v>65.192687747035578</v>
      </c>
      <c r="M172" s="39">
        <f>IFERROR(IF(L172&gt;VLOOKUP(I172,'DADES VOLUMS'!$A$3:$J$1005,9,FALSE),VLOOKUP(I172,'DADES VOLUMS'!$A$3:$J$1005,9,FALSE),L172),"")</f>
        <v>65.192687747035578</v>
      </c>
      <c r="N172" s="40">
        <f t="shared" ref="N172" si="120">IFERROR(K172*M172/L172,"")</f>
        <v>1235.1778656126482</v>
      </c>
      <c r="O172" s="39">
        <f>IFERROR(N172*VLOOKUP(I172,'DADES VOLUMS'!$A$3:$J$1005,6,FALSE),"")</f>
        <v>1235.1778656126482</v>
      </c>
      <c r="P172" s="42">
        <f>IFERROR(O172*VLOOKUP(I172,'DADES VOLUMS'!$A$3:$J$1005,8,FALSE),"")</f>
        <v>6175.889328063241</v>
      </c>
      <c r="Q172" s="116"/>
      <c r="R172" s="29"/>
      <c r="S172" s="16"/>
      <c r="T172" s="16"/>
      <c r="U172" s="16"/>
      <c r="V172" s="79"/>
      <c r="W172" s="16"/>
    </row>
    <row r="173" spans="1:23">
      <c r="A173" s="46" t="s">
        <v>287</v>
      </c>
      <c r="B173" s="46" t="s">
        <v>250</v>
      </c>
      <c r="C173" s="47">
        <v>300000</v>
      </c>
      <c r="D173" s="14">
        <v>115</v>
      </c>
      <c r="E173" s="13">
        <v>96</v>
      </c>
      <c r="F173" s="13">
        <v>11</v>
      </c>
      <c r="G173" s="19">
        <v>5.2780000000000001E-2</v>
      </c>
      <c r="H173" s="45">
        <f t="shared" ref="H173:H174" si="121">F173*E173*D173</f>
        <v>121440</v>
      </c>
      <c r="I173" s="27" t="s">
        <v>47</v>
      </c>
      <c r="J173" s="31">
        <v>1.2</v>
      </c>
      <c r="K173" s="38">
        <f>IFERROR((VLOOKUP(I173,'DADES VOLUMS'!$A$3:$J$1005,5,FALSE))/(('CÀLCUL QUANTITATS VOLUM'!H173)*('CÀLCUL QUANTITATS VOLUM'!J173)),"")</f>
        <v>163.54372529644269</v>
      </c>
      <c r="L173" s="39">
        <f>IFERROR(G173*K173*VLOOKUP(I173,'DADES VOLUMS'!$A$3:$J$1005,6,FALSE),"")</f>
        <v>8.6318378211462452</v>
      </c>
      <c r="M173" s="39">
        <f>IFERROR(IF(L173&gt;VLOOKUP(I173,'DADES VOLUMS'!$A$3:$J$1005,9,FALSE),VLOOKUP(I173,'DADES VOLUMS'!$A$3:$J$1005,9,FALSE),L173),"")</f>
        <v>0</v>
      </c>
      <c r="N173" s="40">
        <f t="shared" ref="N173" si="122">IFERROR(K173*M173/L173,"")</f>
        <v>0</v>
      </c>
      <c r="O173" s="39">
        <f>IFERROR(N173*VLOOKUP(I173,'DADES VOLUMS'!$A$3:$J$1005,6,FALSE),"")</f>
        <v>0</v>
      </c>
      <c r="P173" s="42">
        <f>IFERROR(O173*VLOOKUP(I173,'DADES VOLUMS'!$A$3:$J$1005,8,FALSE),"")</f>
        <v>0</v>
      </c>
      <c r="Q173" s="116"/>
      <c r="R173" s="29"/>
      <c r="S173" s="16"/>
      <c r="T173" s="16"/>
      <c r="U173" s="16"/>
      <c r="V173" s="79"/>
      <c r="W173" s="16"/>
    </row>
    <row r="174" spans="1:23">
      <c r="A174" s="46" t="s">
        <v>292</v>
      </c>
      <c r="B174" s="46" t="s">
        <v>293</v>
      </c>
      <c r="C174" s="47">
        <v>142000</v>
      </c>
      <c r="D174" s="14">
        <v>130</v>
      </c>
      <c r="E174" s="13">
        <v>101</v>
      </c>
      <c r="F174" s="13">
        <v>52</v>
      </c>
      <c r="G174" s="19">
        <v>5.339E-2</v>
      </c>
      <c r="H174" s="45">
        <f t="shared" si="121"/>
        <v>682760</v>
      </c>
      <c r="I174" s="27" t="s">
        <v>46</v>
      </c>
      <c r="J174" s="31">
        <v>1</v>
      </c>
      <c r="K174" s="38">
        <f>IFERROR((VLOOKUP(I174,'DADES VOLUMS'!$A$3:$J$1005,5,FALSE))/(('CÀLCUL QUANTITATS VOLUM'!H174)*('CÀLCUL QUANTITATS VOLUM'!J174)),"")</f>
        <v>24.106201300603434</v>
      </c>
      <c r="L174" s="39">
        <f>IFERROR(G174*K174*VLOOKUP(I174,'DADES VOLUMS'!$A$3:$J$1005,6,FALSE),"")</f>
        <v>1.2870300874392173</v>
      </c>
      <c r="M174" s="39">
        <f>IFERROR(IF(L174&gt;VLOOKUP(I174,'DADES VOLUMS'!$A$3:$J$1005,9,FALSE),VLOOKUP(I174,'DADES VOLUMS'!$A$3:$J$1005,9,FALSE),L174),"")</f>
        <v>0</v>
      </c>
      <c r="N174" s="40">
        <f t="shared" ref="N174" si="123">IFERROR(K174*M174/L174,"")</f>
        <v>0</v>
      </c>
      <c r="O174" s="39">
        <f>IFERROR(N174*VLOOKUP(I174,'DADES VOLUMS'!$A$3:$J$1005,6,FALSE),"")</f>
        <v>0</v>
      </c>
      <c r="P174" s="42">
        <f>IFERROR(O174*VLOOKUP(I174,'DADES VOLUMS'!$A$3:$J$1005,8,FALSE),"")</f>
        <v>0</v>
      </c>
      <c r="Q174" s="116"/>
      <c r="R174" s="29"/>
      <c r="S174" s="16"/>
      <c r="T174" s="16"/>
      <c r="U174" s="16"/>
      <c r="V174" s="79"/>
      <c r="W174" s="16"/>
    </row>
    <row r="175" spans="1:23">
      <c r="A175" s="46" t="s">
        <v>292</v>
      </c>
      <c r="B175" s="46" t="s">
        <v>293</v>
      </c>
      <c r="C175" s="47">
        <v>142000</v>
      </c>
      <c r="D175" s="14">
        <v>130</v>
      </c>
      <c r="E175" s="13">
        <v>101</v>
      </c>
      <c r="F175" s="13">
        <v>52</v>
      </c>
      <c r="G175" s="19">
        <v>5.339E-2</v>
      </c>
      <c r="H175" s="45">
        <f t="shared" ref="H175:H176" si="124">F175*E175*D175</f>
        <v>682760</v>
      </c>
      <c r="I175" s="27" t="s">
        <v>131</v>
      </c>
      <c r="J175" s="31">
        <v>1</v>
      </c>
      <c r="K175" s="38">
        <f>IFERROR((VLOOKUP(I175,'DADES VOLUMS'!$A$3:$J$1005,5,FALSE))/(('CÀLCUL QUANTITATS VOLUM'!H175)*('CÀLCUL QUANTITATS VOLUM'!J175)),"")</f>
        <v>263.6358310387252</v>
      </c>
      <c r="L175" s="39">
        <f>IFERROR(G175*K175*VLOOKUP(I175,'DADES VOLUMS'!$A$3:$J$1005,6,FALSE),"")</f>
        <v>14.075517019157539</v>
      </c>
      <c r="M175" s="39">
        <f>IFERROR(IF(L175&gt;VLOOKUP(I175,'DADES VOLUMS'!$A$3:$J$1005,9,FALSE),VLOOKUP(I175,'DADES VOLUMS'!$A$3:$J$1005,9,FALSE),L175),"")</f>
        <v>14.075517019157539</v>
      </c>
      <c r="N175" s="40">
        <f t="shared" ref="N175" si="125">IFERROR(K175*M175/L175,"")</f>
        <v>263.6358310387252</v>
      </c>
      <c r="O175" s="39">
        <f>IFERROR(N175*VLOOKUP(I175,'DADES VOLUMS'!$A$3:$J$1005,6,FALSE),"")</f>
        <v>263.6358310387252</v>
      </c>
      <c r="P175" s="42">
        <f>IFERROR(O175*VLOOKUP(I175,'DADES VOLUMS'!$A$3:$J$1005,8,FALSE),"")</f>
        <v>1318.179155193626</v>
      </c>
      <c r="Q175" s="116"/>
      <c r="R175" s="29"/>
      <c r="S175" s="16"/>
      <c r="T175" s="16"/>
      <c r="U175" s="16"/>
      <c r="V175" s="79"/>
      <c r="W175" s="16"/>
    </row>
    <row r="176" spans="1:23">
      <c r="A176" s="46" t="s">
        <v>295</v>
      </c>
      <c r="B176" s="46" t="s">
        <v>294</v>
      </c>
      <c r="C176" s="47">
        <v>142000</v>
      </c>
      <c r="D176" s="14">
        <v>64</v>
      </c>
      <c r="E176" s="13">
        <v>78</v>
      </c>
      <c r="F176" s="13">
        <v>52</v>
      </c>
      <c r="G176" s="19">
        <v>3.7569999999999999E-2</v>
      </c>
      <c r="H176" s="45">
        <f t="shared" si="124"/>
        <v>259584</v>
      </c>
      <c r="I176" s="27" t="s">
        <v>46</v>
      </c>
      <c r="J176" s="31">
        <v>1</v>
      </c>
      <c r="K176" s="38">
        <f>IFERROR((VLOOKUP(I176,'DADES VOLUMS'!$A$3:$J$1005,5,FALSE))/(('CÀLCUL QUANTITATS VOLUM'!H176)*('CÀLCUL QUANTITATS VOLUM'!J176)),"")</f>
        <v>63.404331545857985</v>
      </c>
      <c r="L176" s="39">
        <f>IFERROR(G176*K176*VLOOKUP(I176,'DADES VOLUMS'!$A$3:$J$1005,6,FALSE),"")</f>
        <v>2.3821007361778843</v>
      </c>
      <c r="M176" s="39">
        <f>IFERROR(IF(L176&gt;VLOOKUP(I176,'DADES VOLUMS'!$A$3:$J$1005,9,FALSE),VLOOKUP(I176,'DADES VOLUMS'!$A$3:$J$1005,9,FALSE),L176),"")</f>
        <v>0</v>
      </c>
      <c r="N176" s="40">
        <f t="shared" ref="N176" si="126">IFERROR(K176*M176/L176,"")</f>
        <v>0</v>
      </c>
      <c r="O176" s="39">
        <f>IFERROR(N176*VLOOKUP(I176,'DADES VOLUMS'!$A$3:$J$1005,6,FALSE),"")</f>
        <v>0</v>
      </c>
      <c r="P176" s="42">
        <f>IFERROR(O176*VLOOKUP(I176,'DADES VOLUMS'!$A$3:$J$1005,8,FALSE),"")</f>
        <v>0</v>
      </c>
      <c r="Q176" s="116"/>
      <c r="R176" s="29"/>
      <c r="S176" s="16"/>
      <c r="T176" s="16"/>
      <c r="U176" s="16"/>
      <c r="V176" s="79"/>
      <c r="W176" s="16"/>
    </row>
    <row r="177" spans="1:23">
      <c r="A177" s="46" t="s">
        <v>295</v>
      </c>
      <c r="B177" s="46" t="s">
        <v>294</v>
      </c>
      <c r="C177" s="47">
        <v>142000</v>
      </c>
      <c r="D177" s="14">
        <v>64</v>
      </c>
      <c r="E177" s="13">
        <v>78</v>
      </c>
      <c r="F177" s="13">
        <v>52</v>
      </c>
      <c r="G177" s="19">
        <v>3.7569999999999999E-2</v>
      </c>
      <c r="H177" s="45">
        <f t="shared" ref="H177" si="127">F177*E177*D177</f>
        <v>259584</v>
      </c>
      <c r="I177" s="27" t="s">
        <v>131</v>
      </c>
      <c r="J177" s="31">
        <v>1</v>
      </c>
      <c r="K177" s="38">
        <f>IFERROR((VLOOKUP(I177,'DADES VOLUMS'!$A$3:$J$1005,5,FALSE))/(('CÀLCUL QUANTITATS VOLUM'!H177)*('CÀLCUL QUANTITATS VOLUM'!J177)),"")</f>
        <v>693.41715976331363</v>
      </c>
      <c r="L177" s="39">
        <f>IFERROR(G177*K177*VLOOKUP(I177,'DADES VOLUMS'!$A$3:$J$1005,6,FALSE),"")</f>
        <v>26.051682692307693</v>
      </c>
      <c r="M177" s="39">
        <f>IFERROR(IF(L177&gt;VLOOKUP(I177,'DADES VOLUMS'!$A$3:$J$1005,9,FALSE),VLOOKUP(I177,'DADES VOLUMS'!$A$3:$J$1005,9,FALSE),L177),"")</f>
        <v>26.051682692307693</v>
      </c>
      <c r="N177" s="40">
        <f t="shared" ref="N177" si="128">IFERROR(K177*M177/L177,"")</f>
        <v>693.41715976331363</v>
      </c>
      <c r="O177" s="39">
        <f>IFERROR(N177*VLOOKUP(I177,'DADES VOLUMS'!$A$3:$J$1005,6,FALSE),"")</f>
        <v>693.41715976331363</v>
      </c>
      <c r="P177" s="42">
        <f>IFERROR(O177*VLOOKUP(I177,'DADES VOLUMS'!$A$3:$J$1005,8,FALSE),"")</f>
        <v>3467.0857988165681</v>
      </c>
      <c r="Q177" s="116"/>
      <c r="R177" s="29"/>
      <c r="S177" s="16"/>
      <c r="T177" s="16"/>
      <c r="U177" s="16"/>
      <c r="V177" s="79"/>
      <c r="W177" s="16"/>
    </row>
    <row r="178" spans="1:23">
      <c r="A178" s="46" t="s">
        <v>286</v>
      </c>
      <c r="B178" s="46" t="s">
        <v>196</v>
      </c>
      <c r="C178" s="47">
        <v>3000000</v>
      </c>
      <c r="D178" s="14">
        <v>159</v>
      </c>
      <c r="E178" s="13">
        <v>64</v>
      </c>
      <c r="F178" s="13">
        <v>5</v>
      </c>
      <c r="G178" s="19">
        <v>0.11598</v>
      </c>
      <c r="H178" s="45">
        <f t="shared" si="110"/>
        <v>50880</v>
      </c>
      <c r="I178" s="27" t="s">
        <v>251</v>
      </c>
      <c r="J178" s="31">
        <v>1.2</v>
      </c>
      <c r="K178" s="38">
        <f>IFERROR((VLOOKUP(I178,'DADES VOLUMS'!$A$3:$J$1005,5,FALSE))/(('CÀLCUL QUANTITATS VOLUM'!H178)*('CÀLCUL QUANTITATS VOLUM'!J178)),"")</f>
        <v>6551.3626834381548</v>
      </c>
      <c r="L178" s="39">
        <f>IFERROR(G178*K178*VLOOKUP(I178,'DADES VOLUMS'!$A$3:$J$1005,6,FALSE),"")</f>
        <v>759.82704402515719</v>
      </c>
      <c r="M178" s="39">
        <f>IFERROR(IF(L178&gt;VLOOKUP(I178,'DADES VOLUMS'!$A$3:$J$1005,9,FALSE),VLOOKUP(I178,'DADES VOLUMS'!$A$3:$J$1005,9,FALSE),L178),"")</f>
        <v>0</v>
      </c>
      <c r="N178" s="40">
        <f t="shared" ref="N178:N179" si="129">IFERROR(K178*M178/L178,"")</f>
        <v>0</v>
      </c>
      <c r="O178" s="39">
        <f>IFERROR(N178*VLOOKUP(I178,'DADES VOLUMS'!$A$3:$J$1005,6,FALSE),"")</f>
        <v>0</v>
      </c>
      <c r="P178" s="42">
        <f>IFERROR(O178*VLOOKUP(I178,'DADES VOLUMS'!$A$3:$J$1005,8,FALSE),"")</f>
        <v>0</v>
      </c>
      <c r="Q178" s="116"/>
      <c r="R178" s="29"/>
      <c r="S178" s="16"/>
      <c r="T178" s="16"/>
      <c r="U178" s="16"/>
      <c r="V178" s="79"/>
      <c r="W178" s="16"/>
    </row>
    <row r="179" spans="1:23">
      <c r="A179" s="46" t="s">
        <v>291</v>
      </c>
      <c r="B179" s="46" t="s">
        <v>196</v>
      </c>
      <c r="C179" s="47">
        <v>300000</v>
      </c>
      <c r="D179" s="14">
        <v>331</v>
      </c>
      <c r="E179" s="13">
        <v>42</v>
      </c>
      <c r="F179" s="13">
        <v>32</v>
      </c>
      <c r="G179" s="19">
        <v>0.11425</v>
      </c>
      <c r="H179" s="45">
        <f t="shared" si="110"/>
        <v>444864</v>
      </c>
      <c r="I179" s="27" t="s">
        <v>131</v>
      </c>
      <c r="J179" s="31">
        <v>1</v>
      </c>
      <c r="K179" s="38">
        <f>IFERROR((VLOOKUP(I179,'DADES VOLUMS'!$A$3:$J$1005,5,FALSE))/(('CÀLCUL QUANTITATS VOLUM'!H179)*('CÀLCUL QUANTITATS VOLUM'!J179)),"")</f>
        <v>404.6180405697022</v>
      </c>
      <c r="L179" s="39">
        <f>IFERROR(G179*K179*VLOOKUP(I179,'DADES VOLUMS'!$A$3:$J$1005,6,FALSE),"")</f>
        <v>46.22761113508848</v>
      </c>
      <c r="M179" s="39">
        <f>IFERROR(IF(L179&gt;VLOOKUP(I179,'DADES VOLUMS'!$A$3:$J$1005,9,FALSE),VLOOKUP(I179,'DADES VOLUMS'!$A$3:$J$1005,9,FALSE),L179),"")</f>
        <v>46.22761113508848</v>
      </c>
      <c r="N179" s="40">
        <f t="shared" si="129"/>
        <v>404.6180405697022</v>
      </c>
      <c r="O179" s="39">
        <f>IFERROR(N179*VLOOKUP(I179,'DADES VOLUMS'!$A$3:$J$1005,6,FALSE),"")</f>
        <v>404.6180405697022</v>
      </c>
      <c r="P179" s="42">
        <f>IFERROR(O179*VLOOKUP(I179,'DADES VOLUMS'!$A$3:$J$1005,8,FALSE),"")</f>
        <v>2023.0902028485111</v>
      </c>
      <c r="Q179" s="116"/>
      <c r="R179" s="29"/>
      <c r="S179" s="16"/>
      <c r="T179" s="16"/>
      <c r="U179" s="16"/>
      <c r="V179" s="79"/>
      <c r="W179" s="16"/>
    </row>
    <row r="180" spans="1:23">
      <c r="A180" s="46" t="s">
        <v>291</v>
      </c>
      <c r="B180" s="46" t="s">
        <v>196</v>
      </c>
      <c r="C180" s="47">
        <v>300000</v>
      </c>
      <c r="D180" s="14">
        <v>331</v>
      </c>
      <c r="E180" s="13">
        <v>42</v>
      </c>
      <c r="F180" s="13">
        <v>32</v>
      </c>
      <c r="G180" s="19">
        <v>0.11425</v>
      </c>
      <c r="H180" s="45">
        <f t="shared" ref="H180:H181" si="130">F180*E180*D180</f>
        <v>444864</v>
      </c>
      <c r="I180" s="27" t="s">
        <v>47</v>
      </c>
      <c r="J180" s="31">
        <v>2</v>
      </c>
      <c r="K180" s="38">
        <f>IFERROR((VLOOKUP(I180,'DADES VOLUMS'!$A$3:$J$1005,5,FALSE))/(('CÀLCUL QUANTITATS VOLUM'!H180)*('CÀLCUL QUANTITATS VOLUM'!J180)),"")</f>
        <v>26.786725830815708</v>
      </c>
      <c r="L180" s="39">
        <f>IFERROR(G180*K180*VLOOKUP(I180,'DADES VOLUMS'!$A$3:$J$1005,6,FALSE),"")</f>
        <v>3.0603834261706946</v>
      </c>
      <c r="M180" s="39">
        <f>IFERROR(IF(L180&gt;VLOOKUP(I180,'DADES VOLUMS'!$A$3:$J$1005,9,FALSE),VLOOKUP(I180,'DADES VOLUMS'!$A$3:$J$1005,9,FALSE),L180),"")</f>
        <v>0</v>
      </c>
      <c r="N180" s="40">
        <f t="shared" ref="N180:N181" si="131">IFERROR(K180*M180/L180,"")</f>
        <v>0</v>
      </c>
      <c r="O180" s="39">
        <f>IFERROR(N180*VLOOKUP(I180,'DADES VOLUMS'!$A$3:$J$1005,6,FALSE),"")</f>
        <v>0</v>
      </c>
      <c r="P180" s="42">
        <f>IFERROR(O180*VLOOKUP(I180,'DADES VOLUMS'!$A$3:$J$1005,8,FALSE),"")</f>
        <v>0</v>
      </c>
      <c r="Q180" s="116"/>
      <c r="R180" s="29"/>
      <c r="S180" s="16"/>
      <c r="T180" s="16"/>
      <c r="U180" s="16"/>
      <c r="V180" s="79"/>
      <c r="W180" s="16"/>
    </row>
    <row r="181" spans="1:23">
      <c r="A181" s="46" t="s">
        <v>296</v>
      </c>
      <c r="B181" s="46" t="s">
        <v>297</v>
      </c>
      <c r="C181" s="47">
        <v>2500000</v>
      </c>
      <c r="D181" s="117">
        <v>5.15</v>
      </c>
      <c r="E181" s="115">
        <v>5.15</v>
      </c>
      <c r="F181" s="115">
        <v>1.5</v>
      </c>
      <c r="G181" s="19">
        <v>2.1000000000000001E-4</v>
      </c>
      <c r="H181" s="45">
        <f t="shared" si="130"/>
        <v>39.783750000000005</v>
      </c>
      <c r="I181" s="27">
        <v>181</v>
      </c>
      <c r="J181" s="31">
        <v>3</v>
      </c>
      <c r="K181" s="38">
        <f>IFERROR((VLOOKUP(I181,'DADES VOLUMS'!$A$3:$J$1005,5,FALSE))/(('CÀLCUL QUANTITATS VOLUM'!H181)*('CÀLCUL QUANTITATS VOLUM'!J181)),"")</f>
        <v>64822.949068401031</v>
      </c>
      <c r="L181" s="39">
        <f>IFERROR(G181*K181*VLOOKUP(I181,'DADES VOLUMS'!$A$3:$J$1005,6,FALSE),"")</f>
        <v>13.612819304364217</v>
      </c>
      <c r="M181" s="39">
        <f>IFERROR(IF(L181&gt;VLOOKUP(I181,'DADES VOLUMS'!$A$3:$J$1005,9,FALSE),VLOOKUP(I181,'DADES VOLUMS'!$A$3:$J$1005,9,FALSE),L181),"")</f>
        <v>0</v>
      </c>
      <c r="N181" s="40">
        <f t="shared" si="131"/>
        <v>0</v>
      </c>
      <c r="O181" s="39">
        <f>IFERROR(N181*VLOOKUP(I181,'DADES VOLUMS'!$A$3:$J$1005,6,FALSE),"")</f>
        <v>0</v>
      </c>
      <c r="P181" s="42">
        <f>IFERROR(O181*VLOOKUP(I181,'DADES VOLUMS'!$A$3:$J$1005,8,FALSE),"")</f>
        <v>0</v>
      </c>
      <c r="Q181" s="116"/>
      <c r="R181" s="29"/>
      <c r="S181" s="16"/>
      <c r="T181" s="16"/>
      <c r="U181" s="16"/>
      <c r="V181" s="79"/>
      <c r="W181" s="16"/>
    </row>
    <row r="182" spans="1:23">
      <c r="K182" s="38"/>
      <c r="L182" s="39"/>
      <c r="M182" s="39"/>
      <c r="N182" s="40"/>
      <c r="O182" s="41"/>
      <c r="Q182" s="116"/>
      <c r="R182" s="29"/>
      <c r="S182" s="16"/>
      <c r="T182" s="16"/>
      <c r="U182" s="16"/>
      <c r="V182" s="79"/>
      <c r="W182" s="16"/>
    </row>
    <row r="183" spans="1:23">
      <c r="K183" s="38"/>
      <c r="L183" s="39"/>
      <c r="M183" s="39"/>
      <c r="N183" s="40"/>
      <c r="O183" s="41"/>
      <c r="Q183" s="116"/>
      <c r="R183" s="29"/>
      <c r="S183" s="16"/>
      <c r="T183" s="16"/>
      <c r="U183" s="16"/>
      <c r="V183" s="79"/>
      <c r="W183" s="16"/>
    </row>
    <row r="184" spans="1:23">
      <c r="E184" s="14"/>
      <c r="K184" s="38"/>
      <c r="L184" s="39"/>
      <c r="M184" s="39"/>
      <c r="N184" s="40"/>
      <c r="O184" s="41"/>
      <c r="Q184" s="116"/>
      <c r="R184" s="29"/>
      <c r="S184" s="16"/>
      <c r="T184" s="16"/>
      <c r="U184" s="16"/>
      <c r="V184" s="79"/>
      <c r="W184" s="16"/>
    </row>
    <row r="185" spans="1:23">
      <c r="K185" s="38"/>
      <c r="L185" s="39"/>
      <c r="M185" s="39"/>
      <c r="N185" s="40"/>
      <c r="O185" s="41"/>
      <c r="Q185" s="116"/>
      <c r="R185" s="29"/>
      <c r="S185" s="16"/>
      <c r="T185" s="16"/>
      <c r="U185" s="16"/>
      <c r="V185" s="79"/>
      <c r="W185" s="16"/>
    </row>
    <row r="186" spans="1:23">
      <c r="K186" s="38"/>
      <c r="L186" s="39"/>
      <c r="M186" s="39"/>
      <c r="N186" s="40"/>
      <c r="O186" s="41"/>
      <c r="Q186" s="116"/>
      <c r="R186" s="29"/>
      <c r="S186" s="16"/>
      <c r="T186" s="16"/>
      <c r="U186" s="16"/>
      <c r="V186" s="79"/>
      <c r="W186" s="16"/>
    </row>
    <row r="187" spans="1:23">
      <c r="K187" s="38"/>
      <c r="L187" s="39"/>
      <c r="M187" s="39"/>
      <c r="N187" s="40"/>
      <c r="O187" s="41"/>
      <c r="Q187" s="116"/>
      <c r="R187" s="29"/>
      <c r="S187" s="16"/>
      <c r="T187" s="16"/>
      <c r="U187" s="16"/>
      <c r="V187" s="79"/>
      <c r="W187" s="16"/>
    </row>
    <row r="188" spans="1:23">
      <c r="K188" s="38"/>
      <c r="L188" s="39"/>
      <c r="M188" s="39"/>
      <c r="N188" s="40"/>
      <c r="O188" s="41"/>
      <c r="Q188" s="116"/>
      <c r="R188" s="29"/>
      <c r="S188" s="16"/>
      <c r="T188" s="16"/>
      <c r="U188" s="16"/>
      <c r="V188" s="79"/>
      <c r="W188" s="16"/>
    </row>
    <row r="189" spans="1:23">
      <c r="K189" s="38"/>
      <c r="L189" s="39"/>
      <c r="M189" s="39"/>
      <c r="N189" s="40"/>
      <c r="O189" s="41"/>
      <c r="Q189" s="116"/>
      <c r="R189" s="29"/>
      <c r="S189" s="16"/>
      <c r="T189" s="16"/>
      <c r="U189" s="16"/>
      <c r="V189" s="79"/>
      <c r="W189" s="16"/>
    </row>
    <row r="190" spans="1:23">
      <c r="K190" s="38"/>
      <c r="L190" s="39"/>
      <c r="M190" s="39"/>
      <c r="N190" s="40"/>
      <c r="O190" s="41"/>
      <c r="Q190" s="116"/>
      <c r="R190" s="29"/>
      <c r="S190" s="16"/>
      <c r="T190" s="16"/>
      <c r="U190" s="16"/>
      <c r="V190" s="79"/>
      <c r="W190" s="16"/>
    </row>
    <row r="191" spans="1:23">
      <c r="K191" s="38"/>
      <c r="L191" s="39"/>
      <c r="M191" s="39"/>
      <c r="N191" s="40"/>
      <c r="O191" s="41"/>
      <c r="Q191" s="116"/>
      <c r="R191" s="29"/>
      <c r="S191" s="16"/>
      <c r="T191" s="16"/>
      <c r="U191" s="16"/>
      <c r="V191" s="79"/>
      <c r="W191" s="16"/>
    </row>
    <row r="192" spans="1:23">
      <c r="K192" s="38"/>
      <c r="L192" s="39"/>
      <c r="M192" s="39"/>
      <c r="N192" s="40"/>
      <c r="O192" s="41"/>
      <c r="Q192" s="116"/>
      <c r="R192" s="29"/>
      <c r="S192" s="16"/>
      <c r="T192" s="16"/>
      <c r="U192" s="16"/>
      <c r="V192" s="79"/>
      <c r="W192" s="16"/>
    </row>
    <row r="193" spans="11:23">
      <c r="K193" s="38"/>
      <c r="L193" s="39"/>
      <c r="M193" s="39"/>
      <c r="N193" s="40"/>
      <c r="O193" s="41"/>
      <c r="Q193" s="116"/>
      <c r="R193" s="29"/>
      <c r="S193" s="16"/>
      <c r="T193" s="16"/>
      <c r="U193" s="16"/>
      <c r="V193" s="79"/>
      <c r="W193" s="16"/>
    </row>
    <row r="194" spans="11:23">
      <c r="K194" s="38"/>
      <c r="L194" s="39"/>
      <c r="M194" s="39"/>
      <c r="N194" s="40"/>
      <c r="O194" s="41"/>
      <c r="Q194" s="116"/>
      <c r="R194" s="29"/>
      <c r="S194" s="16"/>
      <c r="T194" s="16"/>
      <c r="U194" s="16"/>
      <c r="V194" s="79"/>
      <c r="W194" s="16"/>
    </row>
    <row r="195" spans="11:23">
      <c r="K195" s="38"/>
      <c r="L195" s="39"/>
      <c r="M195" s="39"/>
      <c r="N195" s="40"/>
      <c r="O195" s="41"/>
      <c r="Q195" s="116"/>
      <c r="R195" s="29"/>
      <c r="S195" s="16"/>
      <c r="T195" s="16"/>
      <c r="U195" s="16"/>
      <c r="V195" s="79"/>
      <c r="W195" s="16"/>
    </row>
    <row r="196" spans="11:23">
      <c r="K196" s="38"/>
      <c r="L196" s="39"/>
      <c r="M196" s="39"/>
      <c r="N196" s="40"/>
      <c r="O196" s="41"/>
      <c r="Q196" s="116"/>
      <c r="R196" s="29"/>
      <c r="S196" s="16"/>
      <c r="T196" s="16"/>
      <c r="U196" s="16"/>
      <c r="V196" s="79"/>
      <c r="W196" s="16"/>
    </row>
    <row r="197" spans="11:23">
      <c r="K197" s="38"/>
      <c r="L197" s="39"/>
      <c r="M197" s="39"/>
      <c r="N197" s="40"/>
      <c r="O197" s="41"/>
      <c r="Q197" s="116"/>
      <c r="R197" s="29"/>
      <c r="S197" s="16"/>
      <c r="T197" s="16"/>
      <c r="U197" s="16"/>
      <c r="V197" s="79"/>
      <c r="W197" s="16"/>
    </row>
    <row r="198" spans="11:23">
      <c r="K198" s="38"/>
      <c r="L198" s="39"/>
      <c r="M198" s="39"/>
      <c r="N198" s="40"/>
      <c r="O198" s="41"/>
      <c r="Q198" s="116"/>
      <c r="R198" s="29"/>
      <c r="S198" s="16"/>
      <c r="T198" s="16"/>
      <c r="U198" s="16"/>
      <c r="V198" s="79"/>
      <c r="W198" s="16"/>
    </row>
    <row r="199" spans="11:23">
      <c r="K199" s="38"/>
      <c r="L199" s="39"/>
      <c r="M199" s="39"/>
      <c r="N199" s="40"/>
      <c r="O199" s="41"/>
      <c r="Q199" s="116"/>
      <c r="R199" s="29"/>
      <c r="S199" s="16"/>
      <c r="T199" s="16"/>
      <c r="U199" s="16"/>
      <c r="V199" s="79"/>
      <c r="W199" s="16"/>
    </row>
    <row r="200" spans="11:23">
      <c r="K200" s="38"/>
      <c r="L200" s="39"/>
      <c r="M200" s="39"/>
      <c r="N200" s="40"/>
      <c r="O200" s="41"/>
      <c r="Q200" s="116"/>
      <c r="R200" s="29"/>
      <c r="S200" s="16"/>
      <c r="T200" s="16"/>
      <c r="U200" s="16"/>
      <c r="V200" s="79"/>
      <c r="W200" s="16"/>
    </row>
    <row r="201" spans="11:23">
      <c r="K201" s="38"/>
      <c r="L201" s="39"/>
      <c r="M201" s="39"/>
      <c r="N201" s="40"/>
      <c r="O201" s="41"/>
      <c r="Q201" s="116"/>
      <c r="R201" s="29"/>
      <c r="S201" s="16"/>
      <c r="T201" s="16"/>
      <c r="U201" s="16"/>
      <c r="V201" s="79"/>
      <c r="W201" s="16"/>
    </row>
    <row r="202" spans="11:23">
      <c r="K202" s="38"/>
      <c r="L202" s="39"/>
      <c r="M202" s="39"/>
      <c r="N202" s="40"/>
      <c r="O202" s="41"/>
      <c r="Q202" s="116"/>
      <c r="R202" s="29"/>
      <c r="S202" s="16"/>
      <c r="T202" s="16"/>
      <c r="U202" s="16"/>
      <c r="V202" s="79"/>
      <c r="W202" s="16"/>
    </row>
    <row r="203" spans="11:23">
      <c r="K203" s="38"/>
      <c r="L203" s="39"/>
      <c r="M203" s="39"/>
      <c r="N203" s="40"/>
      <c r="O203" s="41"/>
      <c r="Q203" s="116"/>
      <c r="R203" s="29"/>
      <c r="S203" s="16"/>
      <c r="T203" s="16"/>
      <c r="U203" s="16"/>
      <c r="V203" s="79"/>
      <c r="W203" s="16"/>
    </row>
    <row r="204" spans="11:23">
      <c r="K204" s="38"/>
      <c r="L204" s="39"/>
      <c r="M204" s="39"/>
      <c r="N204" s="40"/>
      <c r="O204" s="41"/>
      <c r="Q204" s="116"/>
      <c r="R204" s="29"/>
      <c r="S204" s="16"/>
      <c r="T204" s="16"/>
      <c r="U204" s="16"/>
      <c r="V204" s="79"/>
      <c r="W204" s="16"/>
    </row>
    <row r="205" spans="11:23">
      <c r="K205" s="38"/>
      <c r="L205" s="39"/>
      <c r="M205" s="39"/>
      <c r="N205" s="40"/>
      <c r="O205" s="41"/>
      <c r="Q205" s="116"/>
      <c r="R205" s="29"/>
      <c r="S205" s="16"/>
      <c r="T205" s="16"/>
      <c r="U205" s="16"/>
      <c r="V205" s="79"/>
      <c r="W205" s="16"/>
    </row>
    <row r="206" spans="11:23">
      <c r="K206" s="38"/>
      <c r="L206" s="39"/>
      <c r="M206" s="39"/>
      <c r="N206" s="40"/>
      <c r="O206" s="41"/>
      <c r="Q206" s="116"/>
      <c r="R206" s="29"/>
      <c r="S206" s="16"/>
      <c r="T206" s="16"/>
      <c r="U206" s="16"/>
      <c r="V206" s="79"/>
      <c r="W206" s="16"/>
    </row>
    <row r="207" spans="11:23">
      <c r="K207" s="38"/>
      <c r="L207" s="39"/>
      <c r="M207" s="39"/>
      <c r="N207" s="40"/>
      <c r="O207" s="41"/>
      <c r="Q207" s="116"/>
      <c r="R207" s="29"/>
      <c r="S207" s="16"/>
      <c r="T207" s="16"/>
      <c r="U207" s="16"/>
      <c r="V207" s="79"/>
      <c r="W207" s="16"/>
    </row>
    <row r="208" spans="11:23">
      <c r="Q208" s="116"/>
      <c r="R208" s="29"/>
      <c r="S208" s="16"/>
      <c r="T208" s="16"/>
      <c r="U208" s="16"/>
      <c r="V208" s="79"/>
      <c r="W208" s="16"/>
    </row>
    <row r="209" spans="17:23">
      <c r="Q209" s="116"/>
      <c r="R209" s="29"/>
      <c r="S209" s="16"/>
      <c r="T209" s="16"/>
      <c r="U209" s="16"/>
      <c r="V209" s="79"/>
      <c r="W209" s="16"/>
    </row>
    <row r="210" spans="17:23">
      <c r="Q210" s="116"/>
      <c r="R210" s="29"/>
      <c r="S210" s="16"/>
      <c r="T210" s="16"/>
      <c r="U210" s="16"/>
      <c r="V210" s="79"/>
      <c r="W210" s="16"/>
    </row>
    <row r="211" spans="17:23">
      <c r="Q211" s="116"/>
      <c r="R211" s="29"/>
      <c r="S211" s="16"/>
      <c r="T211" s="16"/>
      <c r="U211" s="16"/>
      <c r="V211" s="79"/>
      <c r="W211" s="16"/>
    </row>
    <row r="212" spans="17:23">
      <c r="Q212" s="116"/>
      <c r="R212" s="29"/>
      <c r="S212" s="16"/>
      <c r="T212" s="16"/>
      <c r="U212" s="16"/>
      <c r="V212" s="79"/>
      <c r="W212" s="16"/>
    </row>
    <row r="213" spans="17:23">
      <c r="Q213" s="116"/>
      <c r="R213" s="29"/>
      <c r="S213" s="16"/>
      <c r="T213" s="16"/>
      <c r="U213" s="16"/>
      <c r="V213" s="79"/>
      <c r="W213" s="16"/>
    </row>
    <row r="214" spans="17:23">
      <c r="Q214" s="116"/>
      <c r="R214" s="29"/>
      <c r="S214" s="16"/>
      <c r="T214" s="16"/>
      <c r="U214" s="16"/>
      <c r="V214" s="79"/>
      <c r="W214" s="16"/>
    </row>
    <row r="215" spans="17:23">
      <c r="Q215" s="116"/>
      <c r="R215" s="29"/>
      <c r="S215" s="16"/>
      <c r="T215" s="16"/>
      <c r="U215" s="16"/>
      <c r="V215" s="79"/>
      <c r="W215" s="16"/>
    </row>
    <row r="216" spans="17:23">
      <c r="Q216" s="116"/>
      <c r="R216" s="29"/>
      <c r="S216" s="16"/>
      <c r="T216" s="16"/>
      <c r="U216" s="16"/>
      <c r="V216" s="79"/>
      <c r="W216" s="16"/>
    </row>
    <row r="217" spans="17:23">
      <c r="Q217" s="116"/>
      <c r="R217" s="29"/>
      <c r="S217" s="16"/>
      <c r="T217" s="16"/>
      <c r="U217" s="16"/>
      <c r="V217" s="79"/>
      <c r="W217" s="16"/>
    </row>
    <row r="218" spans="17:23">
      <c r="Q218" s="116"/>
      <c r="R218" s="29"/>
      <c r="S218" s="16"/>
      <c r="T218" s="16"/>
      <c r="U218" s="16"/>
      <c r="V218" s="79"/>
      <c r="W218" s="16"/>
    </row>
    <row r="219" spans="17:23">
      <c r="Q219" s="116"/>
      <c r="R219" s="29"/>
      <c r="S219" s="16"/>
      <c r="T219" s="16"/>
      <c r="U219" s="16"/>
      <c r="V219" s="79"/>
      <c r="W219" s="16"/>
    </row>
    <row r="220" spans="17:23">
      <c r="Q220" s="116"/>
      <c r="R220" s="29"/>
      <c r="S220" s="16"/>
      <c r="T220" s="16"/>
      <c r="U220" s="16"/>
      <c r="V220" s="79"/>
      <c r="W220" s="16"/>
    </row>
    <row r="221" spans="17:23">
      <c r="Q221" s="116"/>
      <c r="R221" s="29"/>
      <c r="S221" s="16"/>
      <c r="T221" s="16"/>
      <c r="U221" s="16"/>
      <c r="V221" s="79"/>
      <c r="W221" s="16"/>
    </row>
    <row r="222" spans="17:23">
      <c r="Q222" s="116"/>
      <c r="R222" s="29"/>
      <c r="S222" s="16"/>
      <c r="T222" s="16"/>
      <c r="U222" s="16"/>
      <c r="V222" s="79"/>
      <c r="W222" s="16"/>
    </row>
    <row r="223" spans="17:23">
      <c r="Q223" s="116"/>
      <c r="R223" s="29"/>
      <c r="S223" s="16"/>
      <c r="T223" s="16"/>
      <c r="U223" s="16"/>
      <c r="V223" s="79"/>
      <c r="W223" s="16"/>
    </row>
    <row r="224" spans="17:23">
      <c r="Q224" s="116"/>
      <c r="R224" s="29"/>
      <c r="S224" s="16"/>
      <c r="T224" s="16"/>
      <c r="U224" s="16"/>
      <c r="V224" s="79"/>
      <c r="W224" s="16"/>
    </row>
    <row r="225" spans="17:23">
      <c r="Q225" s="116"/>
      <c r="R225" s="29"/>
      <c r="S225" s="16"/>
      <c r="T225" s="16"/>
      <c r="U225" s="16"/>
      <c r="V225" s="79"/>
      <c r="W225" s="16"/>
    </row>
    <row r="226" spans="17:23">
      <c r="Q226" s="116"/>
      <c r="R226" s="29"/>
      <c r="S226" s="16"/>
      <c r="T226" s="16"/>
      <c r="U226" s="16"/>
      <c r="V226" s="79"/>
      <c r="W226" s="16"/>
    </row>
    <row r="227" spans="17:23">
      <c r="Q227" s="116"/>
      <c r="R227" s="29"/>
      <c r="S227" s="16"/>
      <c r="T227" s="16"/>
      <c r="U227" s="16"/>
      <c r="V227" s="79"/>
      <c r="W227" s="16"/>
    </row>
    <row r="228" spans="17:23">
      <c r="Q228" s="116"/>
      <c r="R228" s="29"/>
      <c r="S228" s="16"/>
      <c r="T228" s="16"/>
      <c r="U228" s="16"/>
      <c r="V228" s="79"/>
      <c r="W228" s="16"/>
    </row>
    <row r="229" spans="17:23">
      <c r="Q229" s="116"/>
      <c r="R229" s="29"/>
      <c r="S229" s="16"/>
      <c r="T229" s="16"/>
      <c r="U229" s="16"/>
      <c r="V229" s="79"/>
      <c r="W229" s="16"/>
    </row>
    <row r="230" spans="17:23">
      <c r="Q230" s="116"/>
      <c r="R230" s="29"/>
      <c r="S230" s="16"/>
      <c r="T230" s="16"/>
      <c r="U230" s="16"/>
      <c r="V230" s="79"/>
      <c r="W230" s="16"/>
    </row>
    <row r="231" spans="17:23">
      <c r="Q231" s="116"/>
      <c r="R231" s="29"/>
      <c r="S231" s="16"/>
      <c r="T231" s="16"/>
      <c r="U231" s="16"/>
      <c r="V231" s="79"/>
      <c r="W231" s="16"/>
    </row>
    <row r="232" spans="17:23">
      <c r="Q232" s="116"/>
      <c r="R232" s="29"/>
      <c r="S232" s="16"/>
      <c r="T232" s="16"/>
      <c r="U232" s="16"/>
      <c r="V232" s="79"/>
      <c r="W232" s="16"/>
    </row>
    <row r="233" spans="17:23">
      <c r="Q233" s="116"/>
      <c r="R233" s="29"/>
      <c r="S233" s="16"/>
      <c r="T233" s="16"/>
      <c r="U233" s="16"/>
      <c r="V233" s="79"/>
      <c r="W233" s="16"/>
    </row>
    <row r="234" spans="17:23">
      <c r="Q234" s="116"/>
      <c r="R234" s="29"/>
      <c r="S234" s="16"/>
      <c r="T234" s="16"/>
      <c r="U234" s="16"/>
      <c r="V234" s="79"/>
      <c r="W234" s="16"/>
    </row>
    <row r="235" spans="17:23">
      <c r="Q235" s="116"/>
      <c r="R235" s="29"/>
      <c r="S235" s="16"/>
      <c r="T235" s="16"/>
      <c r="U235" s="16"/>
      <c r="V235" s="79"/>
      <c r="W235" s="16"/>
    </row>
    <row r="236" spans="17:23">
      <c r="Q236" s="116"/>
      <c r="R236" s="29"/>
      <c r="S236" s="16"/>
      <c r="T236" s="16"/>
      <c r="U236" s="16"/>
      <c r="V236" s="79"/>
      <c r="W236" s="16"/>
    </row>
    <row r="237" spans="17:23">
      <c r="Q237" s="116"/>
      <c r="R237" s="29"/>
      <c r="S237" s="16"/>
      <c r="T237" s="16"/>
      <c r="U237" s="16"/>
      <c r="V237" s="79"/>
      <c r="W237" s="16"/>
    </row>
    <row r="238" spans="17:23">
      <c r="Q238" s="116"/>
      <c r="R238" s="29"/>
      <c r="S238" s="16"/>
      <c r="T238" s="16"/>
      <c r="U238" s="16"/>
      <c r="V238" s="79"/>
      <c r="W238" s="16"/>
    </row>
    <row r="239" spans="17:23">
      <c r="Q239" s="116"/>
      <c r="R239" s="29"/>
      <c r="S239" s="16"/>
      <c r="T239" s="16"/>
      <c r="U239" s="16"/>
      <c r="V239" s="79"/>
      <c r="W239" s="16"/>
    </row>
    <row r="240" spans="17:23">
      <c r="Q240" s="116"/>
      <c r="R240" s="29"/>
      <c r="S240" s="16"/>
      <c r="T240" s="16"/>
      <c r="U240" s="16"/>
      <c r="V240" s="79"/>
      <c r="W240" s="16"/>
    </row>
    <row r="241" spans="17:23">
      <c r="Q241" s="116"/>
      <c r="R241" s="29"/>
      <c r="S241" s="16"/>
      <c r="T241" s="16"/>
      <c r="U241" s="16"/>
      <c r="V241" s="79"/>
      <c r="W241" s="16"/>
    </row>
    <row r="242" spans="17:23">
      <c r="Q242" s="116"/>
      <c r="R242" s="29"/>
      <c r="S242" s="16"/>
      <c r="T242" s="16"/>
      <c r="U242" s="16"/>
      <c r="V242" s="79"/>
      <c r="W242" s="16"/>
    </row>
    <row r="243" spans="17:23">
      <c r="Q243" s="116"/>
      <c r="R243" s="29"/>
      <c r="S243" s="16"/>
      <c r="T243" s="16"/>
      <c r="U243" s="16"/>
      <c r="V243" s="79"/>
      <c r="W243" s="16"/>
    </row>
    <row r="244" spans="17:23">
      <c r="Q244" s="116"/>
      <c r="R244" s="29"/>
      <c r="S244" s="16"/>
      <c r="T244" s="16"/>
      <c r="U244" s="16"/>
      <c r="V244" s="79"/>
      <c r="W244" s="16"/>
    </row>
    <row r="245" spans="17:23">
      <c r="Q245" s="116"/>
      <c r="R245" s="29"/>
      <c r="S245" s="16"/>
      <c r="T245" s="16"/>
      <c r="U245" s="16"/>
      <c r="V245" s="79"/>
      <c r="W245" s="16"/>
    </row>
    <row r="246" spans="17:23">
      <c r="Q246" s="116"/>
      <c r="R246" s="29"/>
      <c r="S246" s="16"/>
      <c r="T246" s="16"/>
      <c r="U246" s="16"/>
      <c r="V246" s="79"/>
      <c r="W246" s="16"/>
    </row>
    <row r="247" spans="17:23">
      <c r="Q247" s="116"/>
      <c r="R247" s="29"/>
      <c r="S247" s="16"/>
      <c r="T247" s="16"/>
      <c r="U247" s="16"/>
      <c r="V247" s="79"/>
      <c r="W247" s="16"/>
    </row>
    <row r="248" spans="17:23">
      <c r="Q248" s="116"/>
      <c r="R248" s="29"/>
      <c r="S248" s="16"/>
      <c r="T248" s="16"/>
      <c r="U248" s="16"/>
      <c r="V248" s="79"/>
      <c r="W248" s="16"/>
    </row>
    <row r="249" spans="17:23">
      <c r="Q249" s="116"/>
      <c r="R249" s="29"/>
      <c r="S249" s="16"/>
      <c r="T249" s="16"/>
      <c r="U249" s="16"/>
      <c r="V249" s="79"/>
      <c r="W249" s="16"/>
    </row>
    <row r="250" spans="17:23">
      <c r="Q250" s="116"/>
      <c r="R250" s="29"/>
      <c r="S250" s="16"/>
      <c r="T250" s="16"/>
      <c r="U250" s="16"/>
      <c r="V250" s="79"/>
      <c r="W250" s="16"/>
    </row>
    <row r="251" spans="17:23">
      <c r="Q251" s="116"/>
      <c r="R251" s="29"/>
      <c r="S251" s="16"/>
      <c r="T251" s="16"/>
      <c r="U251" s="16"/>
      <c r="V251" s="79"/>
      <c r="W251" s="16"/>
    </row>
    <row r="252" spans="17:23">
      <c r="Q252" s="116"/>
      <c r="R252" s="29"/>
      <c r="S252" s="16"/>
      <c r="T252" s="16"/>
      <c r="U252" s="16"/>
      <c r="V252" s="79"/>
      <c r="W252" s="16"/>
    </row>
    <row r="253" spans="17:23">
      <c r="Q253" s="116"/>
      <c r="R253" s="29"/>
      <c r="S253" s="16"/>
      <c r="T253" s="16"/>
      <c r="U253" s="16"/>
      <c r="V253" s="79"/>
      <c r="W253" s="16"/>
    </row>
    <row r="254" spans="17:23">
      <c r="Q254" s="116"/>
      <c r="R254" s="29"/>
      <c r="S254" s="16"/>
      <c r="T254" s="16"/>
      <c r="U254" s="16"/>
      <c r="V254" s="79"/>
      <c r="W254" s="16"/>
    </row>
    <row r="255" spans="17:23">
      <c r="Q255" s="116"/>
      <c r="R255" s="29"/>
      <c r="S255" s="16"/>
      <c r="T255" s="16"/>
      <c r="U255" s="16"/>
      <c r="V255" s="79"/>
      <c r="W255" s="16"/>
    </row>
    <row r="256" spans="17:23">
      <c r="Q256" s="116"/>
      <c r="R256" s="29"/>
      <c r="S256" s="16"/>
      <c r="T256" s="16"/>
      <c r="U256" s="16"/>
      <c r="V256" s="79"/>
      <c r="W256" s="16"/>
    </row>
    <row r="257" spans="17:23">
      <c r="Q257" s="116"/>
      <c r="R257" s="29"/>
      <c r="S257" s="16"/>
      <c r="T257" s="16"/>
      <c r="U257" s="16"/>
      <c r="V257" s="79"/>
      <c r="W257" s="16"/>
    </row>
    <row r="258" spans="17:23">
      <c r="Q258" s="116"/>
      <c r="R258" s="29"/>
      <c r="S258" s="16"/>
      <c r="T258" s="16"/>
      <c r="U258" s="16"/>
      <c r="V258" s="79"/>
      <c r="W258" s="16"/>
    </row>
    <row r="259" spans="17:23">
      <c r="Q259" s="116"/>
      <c r="R259" s="29"/>
      <c r="S259" s="16"/>
      <c r="T259" s="16"/>
      <c r="U259" s="16"/>
      <c r="V259" s="79"/>
      <c r="W259" s="16"/>
    </row>
    <row r="260" spans="17:23">
      <c r="Q260" s="116"/>
      <c r="R260" s="29"/>
      <c r="S260" s="16"/>
      <c r="T260" s="16"/>
      <c r="U260" s="16"/>
      <c r="V260" s="79"/>
      <c r="W260" s="16"/>
    </row>
    <row r="261" spans="17:23">
      <c r="Q261" s="116"/>
      <c r="R261" s="29"/>
      <c r="S261" s="16"/>
      <c r="T261" s="16"/>
      <c r="U261" s="16"/>
      <c r="V261" s="79"/>
      <c r="W261" s="16"/>
    </row>
    <row r="262" spans="17:23">
      <c r="Q262" s="116"/>
      <c r="R262" s="29"/>
      <c r="S262" s="16"/>
      <c r="T262" s="16"/>
      <c r="U262" s="16"/>
      <c r="V262" s="79"/>
      <c r="W262" s="16"/>
    </row>
    <row r="263" spans="17:23">
      <c r="Q263" s="116"/>
      <c r="R263" s="29"/>
      <c r="S263" s="16"/>
      <c r="T263" s="16"/>
      <c r="U263" s="16"/>
      <c r="V263" s="79"/>
      <c r="W263" s="16"/>
    </row>
    <row r="264" spans="17:23">
      <c r="Q264" s="116"/>
      <c r="R264" s="29"/>
      <c r="S264" s="16"/>
      <c r="T264" s="16"/>
      <c r="U264" s="16"/>
      <c r="V264" s="79"/>
      <c r="W264" s="16"/>
    </row>
    <row r="265" spans="17:23">
      <c r="Q265" s="116"/>
      <c r="R265" s="29"/>
      <c r="S265" s="16"/>
      <c r="T265" s="16"/>
      <c r="U265" s="16"/>
      <c r="V265" s="79"/>
      <c r="W265" s="16"/>
    </row>
    <row r="266" spans="17:23">
      <c r="Q266" s="116"/>
      <c r="R266" s="29"/>
      <c r="S266" s="16"/>
      <c r="T266" s="16"/>
      <c r="U266" s="16"/>
      <c r="V266" s="79"/>
      <c r="W266" s="16"/>
    </row>
    <row r="267" spans="17:23">
      <c r="Q267" s="116"/>
      <c r="R267" s="29"/>
      <c r="S267" s="16"/>
      <c r="T267" s="16"/>
      <c r="U267" s="16"/>
      <c r="V267" s="79"/>
      <c r="W267" s="16"/>
    </row>
    <row r="268" spans="17:23">
      <c r="Q268" s="116"/>
      <c r="R268" s="29"/>
      <c r="S268" s="16"/>
      <c r="T268" s="16"/>
      <c r="U268" s="16"/>
      <c r="V268" s="79"/>
      <c r="W268" s="16"/>
    </row>
    <row r="269" spans="17:23">
      <c r="Q269" s="116"/>
      <c r="R269" s="29"/>
      <c r="S269" s="16"/>
      <c r="T269" s="16"/>
      <c r="U269" s="16"/>
      <c r="V269" s="79"/>
      <c r="W269" s="16"/>
    </row>
    <row r="270" spans="17:23">
      <c r="Q270" s="116"/>
      <c r="R270" s="29"/>
      <c r="S270" s="16"/>
      <c r="T270" s="16"/>
      <c r="U270" s="16"/>
      <c r="V270" s="79"/>
      <c r="W270" s="16"/>
    </row>
    <row r="271" spans="17:23">
      <c r="Q271" s="116"/>
      <c r="R271" s="29"/>
      <c r="S271" s="16"/>
      <c r="T271" s="16"/>
      <c r="U271" s="16"/>
      <c r="V271" s="79"/>
      <c r="W271" s="16"/>
    </row>
    <row r="272" spans="17:23">
      <c r="Q272" s="116"/>
      <c r="R272" s="29"/>
      <c r="S272" s="16"/>
      <c r="T272" s="16"/>
      <c r="U272" s="16"/>
      <c r="V272" s="79"/>
      <c r="W272" s="16"/>
    </row>
    <row r="273" spans="17:23">
      <c r="Q273" s="116"/>
      <c r="R273" s="29"/>
      <c r="S273" s="16"/>
      <c r="T273" s="16"/>
      <c r="U273" s="16"/>
      <c r="V273" s="79"/>
      <c r="W273" s="16"/>
    </row>
    <row r="274" spans="17:23">
      <c r="Q274" s="116"/>
      <c r="R274" s="29"/>
      <c r="S274" s="16"/>
      <c r="T274" s="16"/>
      <c r="U274" s="16"/>
      <c r="V274" s="79"/>
      <c r="W274" s="16"/>
    </row>
    <row r="275" spans="17:23">
      <c r="Q275" s="116"/>
      <c r="R275" s="29"/>
      <c r="S275" s="16"/>
      <c r="T275" s="16"/>
      <c r="U275" s="16"/>
      <c r="V275" s="79"/>
      <c r="W275" s="16"/>
    </row>
    <row r="276" spans="17:23">
      <c r="Q276" s="116"/>
      <c r="R276" s="29"/>
      <c r="S276" s="16"/>
      <c r="T276" s="16"/>
      <c r="U276" s="16"/>
      <c r="V276" s="79"/>
      <c r="W276" s="16"/>
    </row>
    <row r="277" spans="17:23">
      <c r="Q277" s="116"/>
      <c r="R277" s="29"/>
      <c r="S277" s="16"/>
      <c r="T277" s="16"/>
      <c r="U277" s="16"/>
      <c r="V277" s="79"/>
      <c r="W277" s="16"/>
    </row>
    <row r="278" spans="17:23">
      <c r="Q278" s="116"/>
      <c r="R278" s="29"/>
      <c r="S278" s="16"/>
      <c r="T278" s="16"/>
      <c r="U278" s="16"/>
      <c r="V278" s="79"/>
      <c r="W278" s="16"/>
    </row>
    <row r="279" spans="17:23">
      <c r="Q279" s="116"/>
      <c r="R279" s="29"/>
      <c r="S279" s="16"/>
      <c r="T279" s="16"/>
      <c r="U279" s="16"/>
      <c r="V279" s="79"/>
      <c r="W279" s="16"/>
    </row>
    <row r="280" spans="17:23">
      <c r="Q280" s="116"/>
      <c r="R280" s="29"/>
      <c r="S280" s="16"/>
      <c r="T280" s="16"/>
      <c r="U280" s="16"/>
      <c r="V280" s="79"/>
      <c r="W280" s="16"/>
    </row>
    <row r="281" spans="17:23">
      <c r="Q281" s="116"/>
      <c r="R281" s="29"/>
      <c r="S281" s="16"/>
      <c r="T281" s="16"/>
      <c r="U281" s="16"/>
      <c r="V281" s="79"/>
      <c r="W281" s="16"/>
    </row>
    <row r="282" spans="17:23">
      <c r="Q282" s="116"/>
      <c r="R282" s="29"/>
      <c r="S282" s="16"/>
      <c r="T282" s="16"/>
      <c r="U282" s="16"/>
      <c r="V282" s="79"/>
      <c r="W282" s="16"/>
    </row>
    <row r="283" spans="17:23">
      <c r="Q283" s="116"/>
      <c r="R283" s="29"/>
      <c r="S283" s="16"/>
      <c r="T283" s="16"/>
      <c r="U283" s="16"/>
      <c r="V283" s="79"/>
      <c r="W283" s="16"/>
    </row>
    <row r="284" spans="17:23">
      <c r="Q284" s="116"/>
      <c r="R284" s="29"/>
      <c r="S284" s="16"/>
      <c r="T284" s="16"/>
      <c r="U284" s="16"/>
      <c r="V284" s="79"/>
      <c r="W284" s="16"/>
    </row>
    <row r="285" spans="17:23">
      <c r="Q285" s="116"/>
      <c r="R285" s="29"/>
      <c r="S285" s="16"/>
      <c r="T285" s="16"/>
      <c r="U285" s="16"/>
      <c r="V285" s="79"/>
      <c r="W285" s="16"/>
    </row>
    <row r="286" spans="17:23">
      <c r="Q286" s="116"/>
      <c r="R286" s="29"/>
      <c r="S286" s="16"/>
      <c r="T286" s="16"/>
      <c r="U286" s="16"/>
      <c r="V286" s="79"/>
      <c r="W286" s="16"/>
    </row>
    <row r="287" spans="17:23">
      <c r="Q287" s="116"/>
      <c r="R287" s="29"/>
      <c r="S287" s="16"/>
      <c r="T287" s="16"/>
      <c r="U287" s="16"/>
      <c r="V287" s="79"/>
      <c r="W287" s="16"/>
    </row>
    <row r="288" spans="17:23">
      <c r="Q288" s="116"/>
      <c r="R288" s="29"/>
      <c r="S288" s="16"/>
      <c r="T288" s="16"/>
      <c r="U288" s="16"/>
      <c r="V288" s="79"/>
      <c r="W288" s="16"/>
    </row>
    <row r="289" spans="17:23">
      <c r="Q289" s="116"/>
      <c r="R289" s="29"/>
      <c r="S289" s="16"/>
      <c r="T289" s="16"/>
      <c r="U289" s="16"/>
      <c r="V289" s="79"/>
      <c r="W289" s="16"/>
    </row>
    <row r="290" spans="17:23">
      <c r="Q290" s="116"/>
      <c r="R290" s="29"/>
      <c r="S290" s="16"/>
      <c r="T290" s="16"/>
      <c r="U290" s="16"/>
      <c r="V290" s="79"/>
      <c r="W290" s="16"/>
    </row>
    <row r="291" spans="17:23">
      <c r="Q291" s="116"/>
      <c r="R291" s="29"/>
      <c r="S291" s="16"/>
      <c r="T291" s="16"/>
      <c r="U291" s="16"/>
      <c r="V291" s="79"/>
      <c r="W291" s="16"/>
    </row>
    <row r="292" spans="17:23">
      <c r="Q292" s="116"/>
      <c r="R292" s="29"/>
      <c r="S292" s="16"/>
      <c r="T292" s="16"/>
      <c r="U292" s="16"/>
      <c r="V292" s="79"/>
      <c r="W292" s="16"/>
    </row>
    <row r="293" spans="17:23">
      <c r="Q293" s="116"/>
      <c r="R293" s="29"/>
      <c r="S293" s="16"/>
      <c r="T293" s="16"/>
      <c r="U293" s="16"/>
      <c r="V293" s="79"/>
      <c r="W293" s="16"/>
    </row>
    <row r="294" spans="17:23">
      <c r="Q294" s="116"/>
      <c r="R294" s="29"/>
      <c r="S294" s="16"/>
      <c r="T294" s="16"/>
      <c r="U294" s="16"/>
      <c r="V294" s="79"/>
      <c r="W294" s="16"/>
    </row>
    <row r="295" spans="17:23">
      <c r="Q295" s="116"/>
      <c r="R295" s="29"/>
      <c r="S295" s="16"/>
      <c r="T295" s="16"/>
      <c r="U295" s="16"/>
      <c r="V295" s="79"/>
      <c r="W295" s="16"/>
    </row>
    <row r="296" spans="17:23">
      <c r="Q296" s="116"/>
      <c r="R296" s="29"/>
      <c r="S296" s="16"/>
      <c r="T296" s="16"/>
      <c r="U296" s="16"/>
      <c r="V296" s="79"/>
      <c r="W296" s="16"/>
    </row>
    <row r="297" spans="17:23">
      <c r="Q297" s="116"/>
      <c r="R297" s="29"/>
      <c r="S297" s="16"/>
      <c r="T297" s="16"/>
      <c r="U297" s="16"/>
      <c r="V297" s="79"/>
      <c r="W297" s="16"/>
    </row>
    <row r="298" spans="17:23">
      <c r="Q298" s="116"/>
      <c r="R298" s="29"/>
      <c r="S298" s="16"/>
      <c r="T298" s="16"/>
      <c r="U298" s="16"/>
      <c r="V298" s="79"/>
      <c r="W298" s="16"/>
    </row>
    <row r="299" spans="17:23">
      <c r="Q299" s="116"/>
      <c r="R299" s="29"/>
      <c r="S299" s="16"/>
      <c r="T299" s="16"/>
      <c r="U299" s="16"/>
      <c r="V299" s="79"/>
      <c r="W299" s="16"/>
    </row>
    <row r="300" spans="17:23">
      <c r="Q300" s="116"/>
      <c r="R300" s="29"/>
      <c r="S300" s="16"/>
      <c r="T300" s="16"/>
      <c r="U300" s="16"/>
      <c r="V300" s="79"/>
      <c r="W300" s="16"/>
    </row>
    <row r="301" spans="17:23">
      <c r="Q301" s="116"/>
      <c r="R301" s="29"/>
      <c r="S301" s="16"/>
      <c r="T301" s="16"/>
      <c r="U301" s="16"/>
      <c r="V301" s="79"/>
      <c r="W301" s="16"/>
    </row>
    <row r="302" spans="17:23">
      <c r="Q302" s="116"/>
      <c r="R302" s="29"/>
      <c r="S302" s="16"/>
      <c r="T302" s="16"/>
      <c r="U302" s="16"/>
      <c r="V302" s="79"/>
      <c r="W302" s="16"/>
    </row>
    <row r="303" spans="17:23">
      <c r="Q303" s="116"/>
      <c r="R303" s="29"/>
      <c r="S303" s="16"/>
      <c r="T303" s="16"/>
      <c r="U303" s="16"/>
      <c r="V303" s="79"/>
      <c r="W303" s="16"/>
    </row>
    <row r="304" spans="17:23">
      <c r="Q304" s="116"/>
      <c r="R304" s="29"/>
      <c r="S304" s="16"/>
      <c r="T304" s="16"/>
      <c r="U304" s="16"/>
      <c r="V304" s="79"/>
      <c r="W304" s="16"/>
    </row>
    <row r="305" spans="17:23">
      <c r="Q305" s="116"/>
      <c r="R305" s="29"/>
      <c r="S305" s="16"/>
      <c r="T305" s="16"/>
      <c r="U305" s="16"/>
      <c r="V305" s="79"/>
      <c r="W305" s="16"/>
    </row>
    <row r="306" spans="17:23">
      <c r="Q306" s="116"/>
      <c r="R306" s="29"/>
      <c r="S306" s="16"/>
      <c r="T306" s="16"/>
      <c r="U306" s="16"/>
      <c r="V306" s="79"/>
      <c r="W306" s="16"/>
    </row>
    <row r="307" spans="17:23">
      <c r="Q307" s="116"/>
      <c r="R307" s="29"/>
      <c r="S307" s="16"/>
      <c r="T307" s="16"/>
      <c r="U307" s="16"/>
      <c r="V307" s="79"/>
      <c r="W307" s="16"/>
    </row>
    <row r="308" spans="17:23">
      <c r="Q308" s="116"/>
      <c r="R308" s="29"/>
      <c r="S308" s="16"/>
      <c r="T308" s="16"/>
      <c r="U308" s="16"/>
      <c r="V308" s="79"/>
      <c r="W308" s="16"/>
    </row>
    <row r="309" spans="17:23">
      <c r="Q309" s="116"/>
      <c r="R309" s="29"/>
      <c r="S309" s="16"/>
      <c r="T309" s="16"/>
      <c r="U309" s="16"/>
      <c r="V309" s="79"/>
      <c r="W309" s="16"/>
    </row>
    <row r="310" spans="17:23">
      <c r="Q310" s="116"/>
      <c r="R310" s="29"/>
      <c r="S310" s="16"/>
      <c r="T310" s="16"/>
      <c r="U310" s="16"/>
      <c r="V310" s="79"/>
      <c r="W310" s="16"/>
    </row>
    <row r="311" spans="17:23">
      <c r="Q311" s="116"/>
      <c r="R311" s="29"/>
      <c r="S311" s="16"/>
      <c r="T311" s="16"/>
      <c r="U311" s="16"/>
      <c r="V311" s="79"/>
      <c r="W311" s="16"/>
    </row>
    <row r="312" spans="17:23">
      <c r="Q312" s="116"/>
      <c r="R312" s="29"/>
      <c r="S312" s="16"/>
      <c r="T312" s="16"/>
      <c r="U312" s="16"/>
      <c r="V312" s="79"/>
      <c r="W312" s="16"/>
    </row>
    <row r="313" spans="17:23">
      <c r="Q313" s="116"/>
      <c r="R313" s="29"/>
      <c r="S313" s="16"/>
      <c r="T313" s="16"/>
      <c r="U313" s="16"/>
      <c r="V313" s="79"/>
      <c r="W313" s="16"/>
    </row>
    <row r="314" spans="17:23">
      <c r="Q314" s="116"/>
      <c r="R314" s="29"/>
      <c r="S314" s="16"/>
      <c r="T314" s="16"/>
      <c r="U314" s="16"/>
      <c r="V314" s="79"/>
      <c r="W314" s="16"/>
    </row>
    <row r="315" spans="17:23">
      <c r="Q315" s="116"/>
      <c r="R315" s="29"/>
      <c r="S315" s="16"/>
      <c r="T315" s="16"/>
      <c r="U315" s="16"/>
      <c r="V315" s="79"/>
      <c r="W315" s="16"/>
    </row>
    <row r="316" spans="17:23">
      <c r="Q316" s="116"/>
      <c r="R316" s="29"/>
      <c r="S316" s="16"/>
      <c r="T316" s="16"/>
      <c r="U316" s="16"/>
      <c r="V316" s="79"/>
      <c r="W316" s="16"/>
    </row>
    <row r="317" spans="17:23">
      <c r="Q317" s="116"/>
      <c r="R317" s="29"/>
      <c r="S317" s="16"/>
      <c r="T317" s="16"/>
      <c r="U317" s="16"/>
      <c r="V317" s="79"/>
      <c r="W317" s="16"/>
    </row>
    <row r="318" spans="17:23">
      <c r="Q318" s="116"/>
      <c r="R318" s="29"/>
      <c r="S318" s="16"/>
      <c r="T318" s="16"/>
      <c r="U318" s="16"/>
      <c r="V318" s="79"/>
      <c r="W318" s="16"/>
    </row>
    <row r="319" spans="17:23">
      <c r="Q319" s="116"/>
      <c r="R319" s="29"/>
      <c r="S319" s="16"/>
      <c r="T319" s="16"/>
      <c r="U319" s="16"/>
      <c r="V319" s="79"/>
      <c r="W319" s="16"/>
    </row>
    <row r="320" spans="17:23">
      <c r="Q320" s="116"/>
      <c r="R320" s="29"/>
      <c r="S320" s="16"/>
      <c r="T320" s="16"/>
      <c r="U320" s="16"/>
      <c r="V320" s="79"/>
      <c r="W320" s="16"/>
    </row>
    <row r="321" spans="17:23">
      <c r="Q321" s="116"/>
      <c r="R321" s="29"/>
      <c r="S321" s="16"/>
      <c r="T321" s="16"/>
      <c r="U321" s="16"/>
      <c r="V321" s="79"/>
      <c r="W321" s="16"/>
    </row>
    <row r="322" spans="17:23">
      <c r="Q322" s="116"/>
      <c r="R322" s="29"/>
      <c r="S322" s="16"/>
      <c r="T322" s="16"/>
      <c r="U322" s="16"/>
      <c r="V322" s="79"/>
      <c r="W322" s="16"/>
    </row>
    <row r="323" spans="17:23">
      <c r="Q323" s="116"/>
      <c r="R323" s="29"/>
      <c r="S323" s="16"/>
      <c r="T323" s="16"/>
      <c r="U323" s="16"/>
      <c r="V323" s="79"/>
      <c r="W323" s="16"/>
    </row>
    <row r="324" spans="17:23">
      <c r="Q324" s="116"/>
      <c r="R324" s="29"/>
      <c r="S324" s="16"/>
      <c r="T324" s="16"/>
      <c r="U324" s="16"/>
      <c r="V324" s="79"/>
      <c r="W324" s="16"/>
    </row>
    <row r="325" spans="17:23">
      <c r="Q325" s="116"/>
      <c r="R325" s="29"/>
      <c r="S325" s="16"/>
      <c r="T325" s="16"/>
      <c r="U325" s="16"/>
      <c r="V325" s="79"/>
      <c r="W325" s="16"/>
    </row>
    <row r="326" spans="17:23">
      <c r="Q326" s="116"/>
      <c r="R326" s="29"/>
      <c r="S326" s="16"/>
      <c r="T326" s="16"/>
      <c r="U326" s="16"/>
      <c r="V326" s="79"/>
      <c r="W326" s="16"/>
    </row>
    <row r="327" spans="17:23">
      <c r="Q327" s="116"/>
      <c r="R327" s="29"/>
      <c r="S327" s="16"/>
      <c r="T327" s="16"/>
      <c r="U327" s="16"/>
      <c r="V327" s="79"/>
      <c r="W327" s="16"/>
    </row>
    <row r="328" spans="17:23">
      <c r="Q328" s="116"/>
      <c r="R328" s="29"/>
      <c r="S328" s="16"/>
      <c r="T328" s="16"/>
      <c r="U328" s="16"/>
      <c r="V328" s="79"/>
      <c r="W328" s="16"/>
    </row>
    <row r="329" spans="17:23">
      <c r="Q329" s="116"/>
      <c r="R329" s="29"/>
      <c r="S329" s="16"/>
      <c r="T329" s="16"/>
      <c r="U329" s="16"/>
      <c r="V329" s="79"/>
      <c r="W329" s="16"/>
    </row>
    <row r="330" spans="17:23">
      <c r="Q330" s="116"/>
      <c r="R330" s="29"/>
      <c r="S330" s="16"/>
      <c r="T330" s="16"/>
      <c r="U330" s="16"/>
      <c r="V330" s="79"/>
      <c r="W330" s="16"/>
    </row>
    <row r="331" spans="17:23">
      <c r="Q331" s="116"/>
      <c r="R331" s="29"/>
      <c r="S331" s="16"/>
      <c r="T331" s="16"/>
      <c r="U331" s="16"/>
      <c r="V331" s="79"/>
      <c r="W331" s="16"/>
    </row>
    <row r="332" spans="17:23">
      <c r="R332" s="16"/>
      <c r="S332" s="16"/>
      <c r="T332" s="16"/>
      <c r="U332" s="16"/>
      <c r="V332" s="79"/>
      <c r="W332" s="16"/>
    </row>
    <row r="333" spans="17:23">
      <c r="R333" s="16"/>
      <c r="S333" s="16"/>
      <c r="T333" s="16"/>
      <c r="U333" s="16"/>
      <c r="V333" s="79"/>
      <c r="W333" s="16"/>
    </row>
    <row r="334" spans="17:23">
      <c r="R334" s="16"/>
      <c r="S334" s="16"/>
      <c r="T334" s="16"/>
      <c r="U334" s="16"/>
      <c r="V334" s="79"/>
      <c r="W334" s="16"/>
    </row>
    <row r="335" spans="17:23">
      <c r="R335" s="16"/>
      <c r="S335" s="16"/>
      <c r="T335" s="16"/>
      <c r="U335" s="16"/>
      <c r="V335" s="79"/>
      <c r="W335" s="16"/>
    </row>
    <row r="336" spans="17:23">
      <c r="R336" s="16"/>
      <c r="S336" s="16"/>
      <c r="T336" s="16"/>
      <c r="U336" s="16"/>
      <c r="V336" s="79"/>
      <c r="W336" s="16"/>
    </row>
    <row r="337" spans="18:23">
      <c r="R337" s="16"/>
      <c r="S337" s="16"/>
      <c r="T337" s="16"/>
      <c r="U337" s="16"/>
      <c r="V337" s="79"/>
      <c r="W337" s="16"/>
    </row>
    <row r="338" spans="18:23">
      <c r="R338" s="16"/>
      <c r="S338" s="16"/>
      <c r="T338" s="16"/>
      <c r="U338" s="16"/>
      <c r="V338" s="79"/>
      <c r="W338" s="16"/>
    </row>
    <row r="339" spans="18:23">
      <c r="R339" s="16"/>
      <c r="S339" s="16"/>
      <c r="T339" s="16"/>
      <c r="U339" s="16"/>
      <c r="V339" s="79"/>
      <c r="W339" s="16"/>
    </row>
  </sheetData>
  <autoFilter ref="A10:Q82" xr:uid="{00000000-0009-0000-0000-000000000000}"/>
  <mergeCells count="15">
    <mergeCell ref="A64:A70"/>
    <mergeCell ref="X9:X10"/>
    <mergeCell ref="S9:U9"/>
    <mergeCell ref="X3:X8"/>
    <mergeCell ref="X1:X2"/>
    <mergeCell ref="A1:H8"/>
    <mergeCell ref="I1:J9"/>
    <mergeCell ref="D9:H9"/>
    <mergeCell ref="A9:C9"/>
    <mergeCell ref="K9:Q9"/>
    <mergeCell ref="K1:O8"/>
    <mergeCell ref="P1:Q2"/>
    <mergeCell ref="P3:Q8"/>
    <mergeCell ref="R1:W7"/>
    <mergeCell ref="S8:V8"/>
  </mergeCells>
  <phoneticPr fontId="7" type="noConversion"/>
  <conditionalFormatting sqref="L11:L1048576">
    <cfRule type="cellIs" dxfId="5" priority="3" operator="greaterThan">
      <formula>$B$8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'DADES VOLUMS'!$A$3:$A$29</xm:f>
          </x14:formula1>
          <xm:sqref>X1:X2 P1</xm:sqref>
        </x14:dataValidation>
        <x14:dataValidation type="list" allowBlank="1" showInputMessage="1" showErrorMessage="1" xr:uid="{99992342-FDE6-458A-9A6A-FFDB73BCA5AD}">
          <x14:formula1>
            <xm:f>'DADES VOLUMS'!$A$3:$A$34</xm:f>
          </x14:formula1>
          <xm:sqref>I11:I82 I85:I89 I91 I93:I181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7F06-E63B-4102-AD90-96688540D091}">
  <sheetPr>
    <pageSetUpPr fitToPage="1"/>
  </sheetPr>
  <dimension ref="B1:G39"/>
  <sheetViews>
    <sheetView view="pageBreakPreview" zoomScale="60" zoomScaleNormal="100" workbookViewId="0">
      <selection activeCell="D31" sqref="D31"/>
    </sheetView>
  </sheetViews>
  <sheetFormatPr baseColWidth="10" defaultRowHeight="15"/>
  <cols>
    <col min="2" max="5" width="21.42578125" style="54" customWidth="1"/>
    <col min="6" max="6" width="13.7109375" style="54" customWidth="1"/>
    <col min="7" max="7" width="43.5703125" customWidth="1"/>
  </cols>
  <sheetData>
    <row r="1" spans="2:7" ht="33.75">
      <c r="B1" s="113" t="s">
        <v>181</v>
      </c>
    </row>
    <row r="2" spans="2:7" s="53" customFormat="1" ht="25.15" customHeight="1">
      <c r="B2" s="95" t="s">
        <v>176</v>
      </c>
      <c r="C2" s="95" t="s">
        <v>177</v>
      </c>
      <c r="D2" s="95" t="s">
        <v>178</v>
      </c>
      <c r="E2" s="95" t="s">
        <v>180</v>
      </c>
      <c r="F2" s="95" t="s">
        <v>179</v>
      </c>
      <c r="G2" s="95" t="s">
        <v>12</v>
      </c>
    </row>
    <row r="3" spans="2:7" s="53" customFormat="1" ht="30.4" customHeight="1">
      <c r="B3" s="95">
        <v>51006612</v>
      </c>
      <c r="C3" s="95">
        <v>350</v>
      </c>
      <c r="D3" s="95"/>
      <c r="E3" s="95"/>
      <c r="F3" s="95"/>
      <c r="G3" s="95"/>
    </row>
    <row r="4" spans="2:7" s="53" customFormat="1" ht="30.4" customHeight="1">
      <c r="B4" s="95">
        <v>51006731</v>
      </c>
      <c r="C4" s="95">
        <v>600</v>
      </c>
      <c r="D4" s="95"/>
      <c r="E4" s="95"/>
      <c r="F4" s="95"/>
      <c r="G4" s="95"/>
    </row>
    <row r="5" spans="2:7" ht="30.4" customHeight="1">
      <c r="B5" s="95">
        <v>51006224</v>
      </c>
      <c r="C5" s="95"/>
      <c r="D5" s="95"/>
      <c r="E5" s="95"/>
      <c r="F5" s="95"/>
      <c r="G5" s="95"/>
    </row>
    <row r="6" spans="2:7" ht="30.4" customHeight="1">
      <c r="B6" s="95"/>
      <c r="C6" s="95"/>
      <c r="D6" s="95"/>
      <c r="E6" s="95"/>
      <c r="F6" s="95"/>
      <c r="G6" s="95"/>
    </row>
    <row r="7" spans="2:7" ht="30.4" customHeight="1">
      <c r="B7" s="95"/>
      <c r="C7" s="95"/>
      <c r="D7" s="95"/>
      <c r="E7" s="95"/>
      <c r="F7" s="95"/>
      <c r="G7" s="95"/>
    </row>
    <row r="8" spans="2:7" ht="30.4" customHeight="1">
      <c r="B8" s="95"/>
      <c r="C8" s="95"/>
      <c r="D8" s="95"/>
      <c r="E8" s="95"/>
      <c r="F8" s="95"/>
      <c r="G8" s="95"/>
    </row>
    <row r="9" spans="2:7" ht="30.4" customHeight="1">
      <c r="B9" s="95"/>
      <c r="C9" s="95"/>
      <c r="D9" s="95"/>
      <c r="E9" s="95"/>
      <c r="F9" s="95"/>
      <c r="G9" s="95"/>
    </row>
    <row r="10" spans="2:7" ht="30.4" customHeight="1">
      <c r="B10" s="95"/>
      <c r="C10" s="95"/>
      <c r="D10" s="95"/>
      <c r="E10" s="95"/>
      <c r="F10" s="95"/>
      <c r="G10" s="95"/>
    </row>
    <row r="11" spans="2:7" ht="30.4" customHeight="1">
      <c r="B11" s="95"/>
      <c r="C11" s="95"/>
      <c r="D11" s="95"/>
      <c r="E11" s="95"/>
      <c r="F11" s="95"/>
      <c r="G11" s="95"/>
    </row>
    <row r="12" spans="2:7" ht="30.4" customHeight="1">
      <c r="B12" s="95"/>
      <c r="C12" s="95"/>
      <c r="D12" s="95"/>
      <c r="E12" s="95"/>
      <c r="F12" s="95"/>
      <c r="G12" s="95"/>
    </row>
    <row r="13" spans="2:7" ht="30.4" customHeight="1">
      <c r="B13" s="95"/>
      <c r="C13" s="95"/>
      <c r="D13" s="95"/>
      <c r="E13" s="95"/>
      <c r="F13" s="95"/>
      <c r="G13" s="95"/>
    </row>
    <row r="14" spans="2:7" ht="30.4" customHeight="1">
      <c r="B14" s="95"/>
      <c r="C14" s="95"/>
      <c r="D14" s="95"/>
      <c r="E14" s="95"/>
      <c r="F14" s="95"/>
      <c r="G14" s="95"/>
    </row>
    <row r="15" spans="2:7" ht="30.4" customHeight="1">
      <c r="B15" s="95"/>
      <c r="C15" s="95"/>
      <c r="D15" s="95"/>
      <c r="E15" s="95"/>
      <c r="F15" s="95"/>
      <c r="G15" s="95"/>
    </row>
    <row r="16" spans="2:7" ht="30.4" customHeight="1">
      <c r="B16" s="95"/>
      <c r="C16" s="95"/>
      <c r="D16" s="95"/>
      <c r="E16" s="95"/>
      <c r="F16" s="95"/>
      <c r="G16" s="95"/>
    </row>
    <row r="17" spans="2:7" ht="30.4" customHeight="1">
      <c r="B17" s="95"/>
      <c r="C17" s="95"/>
      <c r="D17" s="95"/>
      <c r="E17" s="95"/>
      <c r="F17" s="95"/>
      <c r="G17" s="95"/>
    </row>
    <row r="18" spans="2:7" ht="30.4" customHeight="1">
      <c r="B18" s="95"/>
      <c r="C18" s="95"/>
      <c r="D18" s="95"/>
      <c r="E18" s="95"/>
      <c r="F18" s="95"/>
      <c r="G18" s="95"/>
    </row>
    <row r="19" spans="2:7" ht="30.4" customHeight="1">
      <c r="B19" s="95"/>
      <c r="C19" s="95"/>
      <c r="D19" s="95"/>
      <c r="E19" s="95"/>
      <c r="F19" s="95"/>
      <c r="G19" s="95"/>
    </row>
    <row r="20" spans="2:7" ht="30.4" customHeight="1">
      <c r="B20" s="95"/>
      <c r="C20" s="95"/>
      <c r="D20" s="95"/>
      <c r="E20" s="95"/>
      <c r="F20" s="95"/>
      <c r="G20" s="95"/>
    </row>
    <row r="21" spans="2:7" ht="30.4" customHeight="1">
      <c r="B21" s="95"/>
      <c r="C21" s="95"/>
      <c r="D21" s="95"/>
      <c r="E21" s="95"/>
      <c r="F21" s="95"/>
      <c r="G21" s="95"/>
    </row>
    <row r="22" spans="2:7" ht="30.4" customHeight="1">
      <c r="B22" s="95"/>
      <c r="C22" s="95"/>
      <c r="D22" s="95"/>
      <c r="E22" s="95"/>
      <c r="F22" s="95"/>
      <c r="G22" s="95"/>
    </row>
    <row r="23" spans="2:7" ht="30.4" customHeight="1">
      <c r="B23" s="95"/>
      <c r="C23" s="95"/>
      <c r="D23" s="95"/>
      <c r="E23" s="95"/>
      <c r="F23" s="95"/>
      <c r="G23" s="95"/>
    </row>
    <row r="24" spans="2:7" ht="30.4" customHeight="1">
      <c r="B24" s="95"/>
      <c r="C24" s="95"/>
      <c r="D24" s="95"/>
      <c r="E24" s="95"/>
      <c r="F24" s="95"/>
      <c r="G24" s="95"/>
    </row>
    <row r="25" spans="2:7" ht="30.4" customHeight="1">
      <c r="B25" s="95"/>
      <c r="C25" s="95"/>
      <c r="D25" s="95"/>
      <c r="E25" s="95"/>
      <c r="F25" s="95"/>
      <c r="G25" s="95"/>
    </row>
    <row r="26" spans="2:7" ht="31.15" customHeight="1">
      <c r="B26" s="95"/>
      <c r="C26" s="95"/>
      <c r="D26" s="95"/>
      <c r="E26" s="95"/>
      <c r="F26" s="95"/>
      <c r="G26" s="95"/>
    </row>
    <row r="27" spans="2:7" ht="31.15" customHeight="1">
      <c r="B27" s="95"/>
      <c r="C27" s="95"/>
      <c r="D27" s="95"/>
      <c r="E27" s="95"/>
      <c r="F27" s="95"/>
      <c r="G27" s="95"/>
    </row>
    <row r="28" spans="2:7" ht="31.15" customHeight="1">
      <c r="B28" s="95"/>
      <c r="C28" s="95"/>
      <c r="D28" s="95"/>
      <c r="E28" s="95"/>
      <c r="F28" s="95"/>
      <c r="G28" s="95"/>
    </row>
    <row r="29" spans="2:7" ht="31.15" customHeight="1">
      <c r="B29" s="95"/>
      <c r="C29" s="95"/>
      <c r="D29" s="95"/>
      <c r="E29" s="95"/>
      <c r="F29" s="95"/>
      <c r="G29" s="95"/>
    </row>
    <row r="30" spans="2:7" ht="30.4" customHeight="1">
      <c r="B30" s="95"/>
      <c r="C30" s="95"/>
      <c r="D30" s="95"/>
      <c r="E30" s="95"/>
      <c r="F30" s="95"/>
      <c r="G30" s="95"/>
    </row>
    <row r="31" spans="2:7" ht="30.4" customHeight="1">
      <c r="B31" s="95"/>
      <c r="C31" s="95"/>
      <c r="D31" s="95"/>
      <c r="E31" s="95"/>
      <c r="F31" s="95"/>
      <c r="G31" s="95"/>
    </row>
    <row r="32" spans="2:7" ht="30.4" customHeight="1">
      <c r="B32" s="95"/>
      <c r="C32" s="95"/>
      <c r="D32" s="95"/>
      <c r="E32" s="95"/>
      <c r="F32" s="95"/>
      <c r="G32" s="95"/>
    </row>
    <row r="33" spans="2:7" ht="30.4" customHeight="1">
      <c r="B33" s="95"/>
      <c r="C33" s="95"/>
      <c r="D33" s="95"/>
      <c r="E33" s="95"/>
      <c r="F33" s="95"/>
      <c r="G33" s="95"/>
    </row>
    <row r="34" spans="2:7" ht="30.4" customHeight="1">
      <c r="B34" s="95"/>
      <c r="C34" s="95"/>
      <c r="D34" s="95"/>
      <c r="E34" s="95"/>
      <c r="F34" s="95"/>
      <c r="G34" s="95"/>
    </row>
    <row r="35" spans="2:7" ht="30.4" customHeight="1">
      <c r="B35" s="95"/>
      <c r="C35" s="95"/>
      <c r="D35" s="95"/>
      <c r="E35" s="95"/>
      <c r="F35" s="95"/>
      <c r="G35" s="95"/>
    </row>
    <row r="36" spans="2:7" ht="30.4" customHeight="1">
      <c r="B36" s="95"/>
      <c r="C36" s="95"/>
      <c r="D36" s="95"/>
      <c r="E36" s="95"/>
      <c r="F36" s="95"/>
      <c r="G36" s="95"/>
    </row>
    <row r="37" spans="2:7" ht="30.4" customHeight="1">
      <c r="B37" s="95"/>
      <c r="C37" s="95"/>
      <c r="D37" s="95"/>
      <c r="E37" s="95"/>
      <c r="F37" s="95"/>
      <c r="G37" s="95"/>
    </row>
    <row r="39" spans="2:7" ht="21">
      <c r="B39" s="114" t="s">
        <v>182</v>
      </c>
    </row>
  </sheetData>
  <pageMargins left="0.70866141732283472" right="0.70866141732283472" top="0.74803149606299213" bottom="0.74803149606299213" header="0.31496062992125984" footer="0.31496062992125984"/>
  <pageSetup paperSize="8" scale="91" orientation="portrait" r:id="rId1"/>
  <rowBreaks count="1" manualBreakCount="1">
    <brk id="29" min="1" max="6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DADF-F3CF-4F9C-922C-DB001E467ACF}">
  <sheetPr codeName="Hoja2">
    <pageSetUpPr fitToPage="1"/>
  </sheetPr>
  <dimension ref="A1:M22"/>
  <sheetViews>
    <sheetView zoomScale="70" zoomScaleNormal="70" workbookViewId="0">
      <selection activeCell="I26" sqref="I26"/>
    </sheetView>
  </sheetViews>
  <sheetFormatPr baseColWidth="10" defaultRowHeight="15"/>
  <cols>
    <col min="2" max="2" width="20.28515625" bestFit="1" customWidth="1"/>
    <col min="3" max="3" width="11.7109375" customWidth="1"/>
    <col min="7" max="7" width="11.28515625" bestFit="1" customWidth="1"/>
    <col min="9" max="9" width="12.28515625" bestFit="1" customWidth="1"/>
    <col min="11" max="12" width="15.140625" customWidth="1"/>
    <col min="13" max="13" width="36.28515625" customWidth="1"/>
  </cols>
  <sheetData>
    <row r="1" spans="1:13" ht="15.75" thickBot="1"/>
    <row r="2" spans="1:13" ht="29.25" thickBot="1">
      <c r="B2" s="133" t="s">
        <v>165</v>
      </c>
      <c r="C2" s="134"/>
      <c r="D2" s="134"/>
      <c r="E2" s="134"/>
      <c r="F2" s="134"/>
      <c r="G2" s="134"/>
      <c r="H2" s="134"/>
      <c r="I2" s="135"/>
      <c r="M2" s="93" t="s">
        <v>168</v>
      </c>
    </row>
    <row r="3" spans="1:13" ht="15.75" thickBot="1">
      <c r="B3" s="151" t="s">
        <v>24</v>
      </c>
      <c r="C3" s="152"/>
      <c r="D3" s="153"/>
      <c r="E3" s="148" t="s">
        <v>23</v>
      </c>
      <c r="F3" s="149"/>
      <c r="G3" s="149"/>
      <c r="H3" s="149"/>
      <c r="I3" s="150"/>
      <c r="M3" s="109" t="s">
        <v>28</v>
      </c>
    </row>
    <row r="4" spans="1:13" ht="30.75" thickBot="1">
      <c r="B4" s="85" t="s">
        <v>14</v>
      </c>
      <c r="C4" s="86" t="s">
        <v>10</v>
      </c>
      <c r="D4" s="87" t="s">
        <v>13</v>
      </c>
      <c r="E4" s="88" t="s">
        <v>1</v>
      </c>
      <c r="F4" s="89" t="s">
        <v>2</v>
      </c>
      <c r="G4" s="90" t="s">
        <v>3</v>
      </c>
      <c r="H4" s="91" t="s">
        <v>21</v>
      </c>
      <c r="I4" s="92" t="s">
        <v>4</v>
      </c>
      <c r="J4" s="84" t="s">
        <v>5</v>
      </c>
    </row>
    <row r="5" spans="1:13" ht="49.5" customHeight="1">
      <c r="B5" s="109" t="s">
        <v>183</v>
      </c>
      <c r="C5" s="110" t="s">
        <v>184</v>
      </c>
      <c r="D5" s="109">
        <v>400000</v>
      </c>
      <c r="E5" s="109">
        <v>244</v>
      </c>
      <c r="F5" s="109">
        <v>180</v>
      </c>
      <c r="G5" s="109">
        <v>10</v>
      </c>
      <c r="H5" s="109">
        <v>0.09</v>
      </c>
      <c r="I5" s="96">
        <f>E5*F5*G5</f>
        <v>439200</v>
      </c>
      <c r="J5" s="111">
        <v>0.7</v>
      </c>
    </row>
    <row r="6" spans="1:13" ht="15.4" customHeight="1" thickBot="1"/>
    <row r="7" spans="1:13" ht="46.15" customHeight="1" thickBot="1">
      <c r="B7" s="73"/>
      <c r="C7" s="181" t="s">
        <v>172</v>
      </c>
      <c r="D7" s="182"/>
      <c r="E7" s="179" t="s">
        <v>170</v>
      </c>
      <c r="F7" s="180"/>
      <c r="G7" s="73"/>
      <c r="K7" s="183" t="s">
        <v>25</v>
      </c>
      <c r="L7" s="183"/>
    </row>
    <row r="8" spans="1:13" ht="32.25" thickBot="1">
      <c r="B8" s="100" t="s">
        <v>166</v>
      </c>
      <c r="K8" s="94" t="s">
        <v>22</v>
      </c>
      <c r="L8" s="20" t="s">
        <v>167</v>
      </c>
    </row>
    <row r="9" spans="1:13" s="95" customFormat="1" ht="31.5" customHeight="1" thickBot="1">
      <c r="B9" s="104" t="s">
        <v>148</v>
      </c>
      <c r="C9" s="174">
        <v>32</v>
      </c>
      <c r="D9" s="174"/>
      <c r="E9" s="175">
        <v>38</v>
      </c>
      <c r="F9" s="175"/>
      <c r="G9" s="176" t="str">
        <f>IF(C9&lt;E9, "FACTIBLE", "NO FACTIBLE")</f>
        <v>FACTIBLE</v>
      </c>
      <c r="H9" s="176"/>
      <c r="I9" s="53"/>
      <c r="J9" s="53"/>
      <c r="K9" s="99">
        <f>IFERROR(VLOOKUP(PLANTILLA!$M$3,'DADES VOLUMS'!$A$3:$J$1005,9,FALSE)/(PLANTILLA!I5/J5),"ERROR")</f>
        <v>0</v>
      </c>
      <c r="L9" s="98" t="str">
        <f>IFERROR(D5/K9/5400,"")</f>
        <v/>
      </c>
    </row>
    <row r="10" spans="1:13">
      <c r="C10" s="54"/>
      <c r="E10" s="95"/>
      <c r="G10" s="107"/>
    </row>
    <row r="11" spans="1:13" ht="15.75">
      <c r="B11" s="100" t="s">
        <v>150</v>
      </c>
      <c r="C11" s="106" t="s">
        <v>173</v>
      </c>
      <c r="E11" s="95"/>
      <c r="G11" s="107"/>
    </row>
    <row r="12" spans="1:13">
      <c r="B12" s="101" t="s">
        <v>157</v>
      </c>
      <c r="C12" s="54"/>
      <c r="E12" s="95"/>
      <c r="G12" s="107"/>
    </row>
    <row r="13" spans="1:13" s="95" customFormat="1" ht="31.5" customHeight="1">
      <c r="A13" s="95" t="s">
        <v>185</v>
      </c>
      <c r="B13" s="105" t="s">
        <v>152</v>
      </c>
      <c r="C13" s="174">
        <v>400</v>
      </c>
      <c r="D13" s="174"/>
      <c r="E13" s="175">
        <v>399</v>
      </c>
      <c r="F13" s="175"/>
      <c r="G13" s="176" t="str">
        <f>IF(C13&gt;E13, "FACTIBLE", "NO FACTIBLE")</f>
        <v>FACTIBLE</v>
      </c>
      <c r="H13" s="176"/>
      <c r="I13" s="53" t="str">
        <f>IF(G13="NO FACTIBLE","",IF(C13&lt;250, "CAL COL·LOCAR LES PECES BÉ A LA GÀBIA", "ES POT NETEJAR A BULK" ))</f>
        <v>ES POT NETEJAR A BULK</v>
      </c>
      <c r="J13" s="53"/>
      <c r="K13" s="53"/>
      <c r="L13" s="53"/>
    </row>
    <row r="14" spans="1:13" s="95" customFormat="1" ht="31.5" customHeight="1">
      <c r="A14" s="95" t="s">
        <v>186</v>
      </c>
      <c r="B14" s="105" t="s">
        <v>153</v>
      </c>
      <c r="C14" s="174">
        <v>600</v>
      </c>
      <c r="D14" s="174"/>
      <c r="E14" s="175">
        <v>399</v>
      </c>
      <c r="F14" s="175"/>
      <c r="G14" s="176" t="str">
        <f>IF(C14&gt;E14, "FACTIBLE", "NO FACTIBLE")</f>
        <v>FACTIBLE</v>
      </c>
      <c r="H14" s="176"/>
      <c r="I14" s="53" t="str">
        <f>IF(C14&lt;250, "CAL COL·LOCAR LES PECES BÉ A LA GÀBIA", "ES POT NETEJAR A BULK" )</f>
        <v>ES POT NETEJAR A BULK</v>
      </c>
      <c r="J14" s="53"/>
      <c r="K14" s="53"/>
      <c r="L14" s="53"/>
    </row>
    <row r="15" spans="1:13" s="95" customFormat="1" ht="31.5" customHeight="1">
      <c r="A15" s="95" t="s">
        <v>187</v>
      </c>
      <c r="B15" s="105" t="s">
        <v>154</v>
      </c>
      <c r="C15" s="174">
        <v>1000</v>
      </c>
      <c r="D15" s="174"/>
      <c r="E15" s="175">
        <v>499</v>
      </c>
      <c r="F15" s="175"/>
      <c r="G15" s="176" t="str">
        <f>IF(C15&gt;E15, "FACTIBLE", "NO FACTIBLE")</f>
        <v>FACTIBLE</v>
      </c>
      <c r="H15" s="176"/>
      <c r="I15" s="108" t="str">
        <f>IF(G15="NO FACTIBLE","",IF(C15&lt;500, "REQUEREIX DE SALA GRIS",""))</f>
        <v/>
      </c>
      <c r="J15" s="53"/>
      <c r="K15" s="53"/>
      <c r="L15" s="53"/>
    </row>
    <row r="16" spans="1:13">
      <c r="B16" s="102" t="s">
        <v>156</v>
      </c>
      <c r="C16" s="54"/>
      <c r="E16" s="95"/>
      <c r="G16" s="107"/>
    </row>
    <row r="17" spans="2:12" s="95" customFormat="1" ht="31.5" customHeight="1">
      <c r="B17" s="105" t="s">
        <v>171</v>
      </c>
      <c r="C17" s="174">
        <v>2</v>
      </c>
      <c r="D17" s="174"/>
      <c r="E17" s="175"/>
      <c r="F17" s="175"/>
      <c r="G17" s="176" t="str">
        <f t="shared" ref="G17" si="0">IF(C17&gt;E17, "FACTIBLE", "NO FACTIBLE")</f>
        <v>FACTIBLE</v>
      </c>
      <c r="H17" s="176"/>
      <c r="I17" s="53"/>
      <c r="J17" s="53"/>
      <c r="K17" s="53"/>
      <c r="L17" s="53"/>
    </row>
    <row r="18" spans="2:12">
      <c r="C18" s="54"/>
      <c r="E18" s="95"/>
      <c r="G18" s="107"/>
    </row>
    <row r="19" spans="2:12" ht="15.75">
      <c r="B19" s="177" t="s">
        <v>174</v>
      </c>
      <c r="C19" s="178"/>
      <c r="D19" s="178"/>
      <c r="E19" s="178"/>
      <c r="F19" s="178"/>
      <c r="G19" s="112" t="s">
        <v>162</v>
      </c>
      <c r="H19" s="53" t="str">
        <f>IF(G19="SI","CAL COL·LOCAR LES PECES BÉ A LA GÀBIA","")</f>
        <v/>
      </c>
    </row>
    <row r="20" spans="2:12">
      <c r="C20" s="54"/>
      <c r="E20" s="95"/>
      <c r="G20" s="107"/>
    </row>
    <row r="21" spans="2:12" ht="18.75">
      <c r="B21" s="103" t="s">
        <v>158</v>
      </c>
      <c r="C21" s="54"/>
      <c r="E21" s="95"/>
      <c r="G21" s="107"/>
    </row>
    <row r="22" spans="2:12" s="95" customFormat="1" ht="31.5" customHeight="1">
      <c r="B22" s="105" t="s">
        <v>159</v>
      </c>
      <c r="C22" s="174" t="s">
        <v>162</v>
      </c>
      <c r="D22" s="174"/>
      <c r="E22" s="175" t="s">
        <v>169</v>
      </c>
      <c r="F22" s="175"/>
      <c r="G22" s="176" t="str">
        <f>IF(E22="si","FACTIBLE",IF(C22="SI","NO FACTIBLE","FACTIBLE"))</f>
        <v>FACTIBLE</v>
      </c>
      <c r="H22" s="176"/>
      <c r="I22" s="53"/>
      <c r="J22" s="53"/>
      <c r="K22" s="53"/>
      <c r="L22" s="53"/>
    </row>
  </sheetData>
  <mergeCells count="25">
    <mergeCell ref="E7:F7"/>
    <mergeCell ref="C7:D7"/>
    <mergeCell ref="K7:L7"/>
    <mergeCell ref="B2:I2"/>
    <mergeCell ref="B3:D3"/>
    <mergeCell ref="E3:I3"/>
    <mergeCell ref="G15:H15"/>
    <mergeCell ref="G17:H17"/>
    <mergeCell ref="G22:H22"/>
    <mergeCell ref="C15:D15"/>
    <mergeCell ref="C17:D17"/>
    <mergeCell ref="C22:D22"/>
    <mergeCell ref="E15:F15"/>
    <mergeCell ref="E17:F17"/>
    <mergeCell ref="E22:F22"/>
    <mergeCell ref="B19:F19"/>
    <mergeCell ref="C9:D9"/>
    <mergeCell ref="E9:F9"/>
    <mergeCell ref="G9:H9"/>
    <mergeCell ref="G13:H13"/>
    <mergeCell ref="G14:H14"/>
    <mergeCell ref="E13:F13"/>
    <mergeCell ref="E14:F14"/>
    <mergeCell ref="C13:D13"/>
    <mergeCell ref="C14:D14"/>
  </mergeCells>
  <conditionalFormatting sqref="G9:H9 G13:H15 G17:H17 G22:H22">
    <cfRule type="containsText" dxfId="4" priority="5" operator="containsText" text="NO">
      <formula>NOT(ISERROR(SEARCH("NO",G9)))</formula>
    </cfRule>
  </conditionalFormatting>
  <conditionalFormatting sqref="H19">
    <cfRule type="containsText" dxfId="3" priority="1" operator="containsText" text="BÉ">
      <formula>NOT(ISERROR(SEARCH("BÉ",H19)))</formula>
    </cfRule>
    <cfRule type="containsText" dxfId="2" priority="2" operator="containsText" text="BULK">
      <formula>NOT(ISERROR(SEARCH("BULK",H19)))</formula>
    </cfRule>
  </conditionalFormatting>
  <conditionalFormatting sqref="I13:I14">
    <cfRule type="containsText" dxfId="1" priority="3" operator="containsText" text="BÉ">
      <formula>NOT(ISERROR(SEARCH("BÉ",I13)))</formula>
    </cfRule>
    <cfRule type="containsText" dxfId="0" priority="4" operator="containsText" text="BULK">
      <formula>NOT(ISERROR(SEARCH("BULK",I13)))</formula>
    </cfRule>
  </conditionalFormatting>
  <pageMargins left="0.7" right="0.7" top="0.75" bottom="0.75" header="0.3" footer="0.3"/>
  <pageSetup paperSize="9" scale="4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B46670-09EA-45DC-A642-4C8356B6C2E7}">
          <x14:formula1>
            <xm:f>'DADES VOLUMS'!$A$3:$A$32</xm:f>
          </x14:formula1>
          <xm:sqref>M3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Q180"/>
  <sheetViews>
    <sheetView zoomScale="70" zoomScaleNormal="70" workbookViewId="0">
      <pane ySplit="2" topLeftCell="A3" activePane="bottomLeft" state="frozen"/>
      <selection pane="bottomLeft" activeCell="B30" sqref="B30"/>
    </sheetView>
  </sheetViews>
  <sheetFormatPr baseColWidth="10" defaultRowHeight="15"/>
  <cols>
    <col min="1" max="1" width="28.7109375" bestFit="1" customWidth="1"/>
    <col min="5" max="5" width="16.85546875" bestFit="1" customWidth="1"/>
    <col min="7" max="7" width="16.85546875" bestFit="1" customWidth="1"/>
    <col min="9" max="9" width="14.5703125" bestFit="1" customWidth="1"/>
    <col min="10" max="10" width="16" bestFit="1" customWidth="1"/>
    <col min="11" max="16" width="12.42578125" customWidth="1"/>
  </cols>
  <sheetData>
    <row r="1" spans="1:17">
      <c r="K1" s="81" t="s">
        <v>160</v>
      </c>
      <c r="L1" s="184" t="s">
        <v>157</v>
      </c>
      <c r="M1" s="185"/>
      <c r="N1" s="186"/>
      <c r="O1" s="81" t="s">
        <v>156</v>
      </c>
      <c r="P1" s="81" t="s">
        <v>164</v>
      </c>
    </row>
    <row r="2" spans="1:17" ht="47.25">
      <c r="B2" s="22" t="s">
        <v>1</v>
      </c>
      <c r="C2" s="22" t="s">
        <v>2</v>
      </c>
      <c r="D2" s="22" t="s">
        <v>3</v>
      </c>
      <c r="E2" s="23" t="s">
        <v>26</v>
      </c>
      <c r="F2" s="24" t="s">
        <v>0</v>
      </c>
      <c r="G2" s="23" t="s">
        <v>27</v>
      </c>
      <c r="H2" s="24" t="s">
        <v>7</v>
      </c>
      <c r="I2" s="52" t="s">
        <v>132</v>
      </c>
      <c r="J2" s="24" t="s">
        <v>16</v>
      </c>
      <c r="K2" s="82" t="s">
        <v>148</v>
      </c>
      <c r="L2" s="83" t="s">
        <v>152</v>
      </c>
      <c r="M2" s="83" t="s">
        <v>153</v>
      </c>
      <c r="N2" s="83" t="s">
        <v>154</v>
      </c>
      <c r="O2" s="83" t="s">
        <v>155</v>
      </c>
      <c r="P2" s="83" t="s">
        <v>159</v>
      </c>
      <c r="Q2" s="35" t="s">
        <v>34</v>
      </c>
    </row>
    <row r="3" spans="1:17">
      <c r="A3" s="1" t="s">
        <v>28</v>
      </c>
      <c r="B3" s="26">
        <v>300</v>
      </c>
      <c r="C3" s="25">
        <v>450</v>
      </c>
      <c r="D3" s="25">
        <v>275</v>
      </c>
      <c r="E3" s="51">
        <f>B3*C3*D3</f>
        <v>37125000</v>
      </c>
      <c r="F3" s="25">
        <v>2</v>
      </c>
      <c r="G3" s="51">
        <f>E3*F3</f>
        <v>74250000</v>
      </c>
      <c r="H3" s="25">
        <v>3</v>
      </c>
      <c r="I3" s="51"/>
      <c r="J3" s="25">
        <v>200</v>
      </c>
      <c r="K3" s="51"/>
      <c r="L3" s="51"/>
      <c r="M3" s="51"/>
      <c r="N3" s="51"/>
      <c r="O3" s="51"/>
      <c r="P3" s="51"/>
      <c r="Q3" s="34">
        <v>44274</v>
      </c>
    </row>
    <row r="4" spans="1:17">
      <c r="A4" s="1" t="s">
        <v>56</v>
      </c>
      <c r="B4" s="26">
        <v>300</v>
      </c>
      <c r="C4" s="25">
        <v>450</v>
      </c>
      <c r="D4" s="25">
        <v>275</v>
      </c>
      <c r="E4" s="51">
        <f>B4*C4*D4</f>
        <v>37125000</v>
      </c>
      <c r="F4" s="25">
        <v>4</v>
      </c>
      <c r="G4" s="51">
        <f>E4*F4</f>
        <v>148500000</v>
      </c>
      <c r="H4" s="25">
        <v>3</v>
      </c>
      <c r="I4" s="51"/>
      <c r="J4" s="25">
        <v>200</v>
      </c>
      <c r="K4" s="51"/>
      <c r="L4" s="51"/>
      <c r="M4" s="51"/>
      <c r="N4" s="51"/>
      <c r="O4" s="51"/>
      <c r="P4" s="51"/>
      <c r="Q4" s="34"/>
    </row>
    <row r="5" spans="1:17">
      <c r="A5" s="50" t="s">
        <v>131</v>
      </c>
      <c r="B5" s="26">
        <v>1000</v>
      </c>
      <c r="C5" s="25">
        <v>450</v>
      </c>
      <c r="D5" s="25">
        <v>400</v>
      </c>
      <c r="E5" s="51">
        <f>B5*C5*D5</f>
        <v>180000000</v>
      </c>
      <c r="F5" s="25">
        <v>1</v>
      </c>
      <c r="G5" s="51">
        <f>E5*F5</f>
        <v>180000000</v>
      </c>
      <c r="H5" s="25">
        <v>5</v>
      </c>
      <c r="I5" s="51">
        <f>G5*H5</f>
        <v>900000000</v>
      </c>
      <c r="J5" s="25">
        <v>60</v>
      </c>
      <c r="K5" s="51"/>
      <c r="L5" s="51">
        <v>400</v>
      </c>
      <c r="M5" s="51"/>
      <c r="N5" s="51">
        <v>500</v>
      </c>
      <c r="O5" s="51"/>
      <c r="P5" s="51"/>
    </row>
    <row r="6" spans="1:17">
      <c r="A6" s="50" t="s">
        <v>133</v>
      </c>
      <c r="B6" s="26">
        <v>600</v>
      </c>
      <c r="C6" s="25">
        <v>400</v>
      </c>
      <c r="D6" s="25">
        <v>400</v>
      </c>
      <c r="E6" s="51">
        <f t="shared" ref="E6:E31" si="0">B6*C6*D6</f>
        <v>96000000</v>
      </c>
      <c r="F6" s="25">
        <v>3</v>
      </c>
      <c r="G6" s="51">
        <f>E6*F6</f>
        <v>288000000</v>
      </c>
      <c r="H6" s="25">
        <v>4</v>
      </c>
      <c r="I6" s="51">
        <f>G6*H6</f>
        <v>1152000000</v>
      </c>
      <c r="J6" s="25">
        <v>100000000</v>
      </c>
      <c r="K6" s="51"/>
      <c r="L6" s="51"/>
      <c r="M6" s="51"/>
      <c r="N6" s="51"/>
      <c r="O6" s="51"/>
      <c r="P6" s="51"/>
    </row>
    <row r="7" spans="1:17">
      <c r="A7" s="50" t="s">
        <v>134</v>
      </c>
      <c r="B7" s="26">
        <v>600</v>
      </c>
      <c r="C7" s="25">
        <v>400</v>
      </c>
      <c r="D7" s="25">
        <v>400</v>
      </c>
      <c r="E7" s="51">
        <f t="shared" ref="E7:E8" si="1">B7*C7*D7</f>
        <v>96000000</v>
      </c>
      <c r="F7" s="25">
        <v>3</v>
      </c>
      <c r="G7" s="51">
        <f t="shared" ref="G7:G8" si="2">E7*F7</f>
        <v>288000000</v>
      </c>
      <c r="H7" s="25">
        <v>2.5</v>
      </c>
      <c r="I7" s="25">
        <f>G7*H7</f>
        <v>720000000</v>
      </c>
      <c r="J7" s="25">
        <v>100000000</v>
      </c>
      <c r="K7" s="51">
        <v>38</v>
      </c>
      <c r="L7" s="51">
        <v>400</v>
      </c>
      <c r="M7" s="51">
        <v>400</v>
      </c>
      <c r="N7" s="51">
        <v>500</v>
      </c>
      <c r="O7" s="97">
        <v>0.2</v>
      </c>
      <c r="P7" s="51" t="s">
        <v>169</v>
      </c>
    </row>
    <row r="8" spans="1:17">
      <c r="A8" s="50" t="s">
        <v>135</v>
      </c>
      <c r="B8" s="26">
        <v>600</v>
      </c>
      <c r="C8" s="25">
        <v>400</v>
      </c>
      <c r="D8" s="25">
        <v>400</v>
      </c>
      <c r="E8" s="51">
        <f t="shared" si="1"/>
        <v>96000000</v>
      </c>
      <c r="F8" s="25">
        <v>3</v>
      </c>
      <c r="G8" s="51">
        <f t="shared" si="2"/>
        <v>288000000</v>
      </c>
      <c r="H8" s="25">
        <v>3</v>
      </c>
      <c r="I8" s="51">
        <f>G8*H8</f>
        <v>864000000</v>
      </c>
      <c r="J8" s="25">
        <v>100000000</v>
      </c>
      <c r="K8" s="51"/>
      <c r="L8" s="51"/>
      <c r="M8" s="51"/>
      <c r="N8" s="51"/>
      <c r="O8" s="51"/>
      <c r="P8" s="51"/>
    </row>
    <row r="9" spans="1:17">
      <c r="A9" s="1" t="s">
        <v>29</v>
      </c>
      <c r="B9" s="26">
        <v>300</v>
      </c>
      <c r="C9" s="25">
        <v>450</v>
      </c>
      <c r="D9" s="25">
        <v>150</v>
      </c>
      <c r="E9" s="51">
        <f>B9*C9*D9</f>
        <v>20250000</v>
      </c>
      <c r="F9" s="25">
        <v>4</v>
      </c>
      <c r="G9" s="51">
        <f>E9*F9</f>
        <v>81000000</v>
      </c>
      <c r="H9" s="25">
        <v>4</v>
      </c>
      <c r="I9" s="51"/>
      <c r="J9" s="25">
        <v>30</v>
      </c>
      <c r="K9" s="51"/>
      <c r="L9" s="51"/>
      <c r="M9" s="51"/>
      <c r="N9" s="51"/>
      <c r="O9" s="51"/>
      <c r="P9" s="51"/>
    </row>
    <row r="10" spans="1:17">
      <c r="A10" s="1" t="s">
        <v>30</v>
      </c>
      <c r="B10" s="26"/>
      <c r="C10" s="25"/>
      <c r="D10" s="25"/>
      <c r="E10" s="51">
        <f t="shared" ref="E10:E29" si="3">B10*C10*D10</f>
        <v>0</v>
      </c>
      <c r="F10" s="25"/>
      <c r="G10" s="25"/>
      <c r="H10" s="25"/>
      <c r="I10" s="51"/>
      <c r="J10" s="25"/>
      <c r="K10" s="51"/>
      <c r="L10" s="51"/>
      <c r="M10" s="51"/>
      <c r="N10" s="51"/>
      <c r="O10" s="51"/>
      <c r="P10" s="51"/>
    </row>
    <row r="11" spans="1:17">
      <c r="A11" s="36">
        <v>181</v>
      </c>
      <c r="B11" s="26">
        <v>255</v>
      </c>
      <c r="C11" s="25">
        <v>185</v>
      </c>
      <c r="D11" s="25">
        <v>164</v>
      </c>
      <c r="E11" s="51">
        <f t="shared" si="3"/>
        <v>7736700</v>
      </c>
      <c r="F11" s="25">
        <v>1</v>
      </c>
      <c r="G11" s="25"/>
      <c r="H11" s="25"/>
      <c r="I11" s="51"/>
      <c r="J11" s="25">
        <v>10</v>
      </c>
      <c r="K11" s="51"/>
      <c r="L11" s="51"/>
      <c r="M11" s="51"/>
      <c r="N11" s="51"/>
      <c r="O11" s="51"/>
      <c r="P11" s="51"/>
    </row>
    <row r="12" spans="1:17">
      <c r="A12" s="36">
        <v>184</v>
      </c>
      <c r="B12" s="26">
        <v>595</v>
      </c>
      <c r="C12" s="25">
        <v>395</v>
      </c>
      <c r="D12" s="25">
        <v>145</v>
      </c>
      <c r="E12" s="51">
        <f t="shared" si="3"/>
        <v>34078625</v>
      </c>
      <c r="F12" s="25">
        <v>1</v>
      </c>
      <c r="G12" s="25"/>
      <c r="H12" s="25"/>
      <c r="I12" s="51"/>
      <c r="J12" s="25">
        <v>10</v>
      </c>
      <c r="K12" s="51"/>
      <c r="L12" s="51"/>
      <c r="M12" s="51"/>
      <c r="N12" s="51"/>
      <c r="O12" s="51"/>
      <c r="P12" s="51"/>
    </row>
    <row r="13" spans="1:17">
      <c r="A13" s="36">
        <v>185</v>
      </c>
      <c r="B13" s="26">
        <v>590</v>
      </c>
      <c r="C13" s="25">
        <v>390</v>
      </c>
      <c r="D13" s="25">
        <v>300</v>
      </c>
      <c r="E13" s="51">
        <f t="shared" si="3"/>
        <v>69030000</v>
      </c>
      <c r="F13" s="25">
        <v>1</v>
      </c>
      <c r="G13" s="25"/>
      <c r="H13" s="25"/>
      <c r="I13" s="51"/>
      <c r="J13" s="25">
        <v>10</v>
      </c>
      <c r="K13" s="51"/>
      <c r="L13" s="51"/>
      <c r="M13" s="51"/>
      <c r="N13" s="51"/>
      <c r="O13" s="51"/>
      <c r="P13" s="51"/>
    </row>
    <row r="14" spans="1:17">
      <c r="A14" s="1" t="s">
        <v>38</v>
      </c>
      <c r="B14" s="26">
        <v>600</v>
      </c>
      <c r="C14" s="25">
        <v>400</v>
      </c>
      <c r="D14" s="25">
        <v>210</v>
      </c>
      <c r="E14" s="51">
        <f t="shared" ref="E14" si="4">B14*C14*D14</f>
        <v>50400000</v>
      </c>
      <c r="F14" s="25">
        <v>1</v>
      </c>
      <c r="G14" s="25"/>
      <c r="H14" s="25"/>
      <c r="I14" s="51"/>
      <c r="J14" s="25">
        <v>10</v>
      </c>
      <c r="K14" s="51"/>
      <c r="L14" s="51"/>
      <c r="M14" s="51"/>
      <c r="N14" s="51"/>
      <c r="O14" s="51"/>
      <c r="P14" s="51"/>
    </row>
    <row r="15" spans="1:17">
      <c r="A15" s="1" t="s">
        <v>43</v>
      </c>
      <c r="B15" s="26">
        <v>390</v>
      </c>
      <c r="C15" s="25">
        <v>300</v>
      </c>
      <c r="D15" s="25">
        <v>120</v>
      </c>
      <c r="E15" s="51">
        <f t="shared" si="3"/>
        <v>14040000</v>
      </c>
      <c r="F15" s="25">
        <v>1</v>
      </c>
      <c r="G15" s="25"/>
      <c r="H15" s="25"/>
      <c r="I15" s="51"/>
      <c r="J15" s="25">
        <v>10</v>
      </c>
      <c r="K15" s="51"/>
      <c r="L15" s="51"/>
      <c r="M15" s="51"/>
      <c r="N15" s="51"/>
      <c r="O15" s="51"/>
      <c r="P15" s="51"/>
    </row>
    <row r="16" spans="1:17">
      <c r="A16" s="1" t="s">
        <v>33</v>
      </c>
      <c r="B16" s="26">
        <v>300</v>
      </c>
      <c r="C16" s="25">
        <v>450</v>
      </c>
      <c r="D16" s="25">
        <v>100</v>
      </c>
      <c r="E16" s="51">
        <f t="shared" ref="E16:E17" si="5">B16*C16*D16</f>
        <v>13500000</v>
      </c>
      <c r="F16" s="25">
        <v>1</v>
      </c>
      <c r="G16" s="25"/>
      <c r="H16" s="25"/>
      <c r="I16" s="51"/>
      <c r="J16" s="25">
        <v>12</v>
      </c>
      <c r="K16" s="51"/>
      <c r="L16" s="51"/>
      <c r="M16" s="51"/>
      <c r="N16" s="51"/>
      <c r="O16" s="51"/>
      <c r="P16" s="51"/>
    </row>
    <row r="17" spans="1:16">
      <c r="A17" s="1" t="s">
        <v>39</v>
      </c>
      <c r="B17" s="26">
        <v>385</v>
      </c>
      <c r="C17" s="25">
        <v>285</v>
      </c>
      <c r="D17" s="25">
        <v>190</v>
      </c>
      <c r="E17" s="51">
        <f t="shared" si="5"/>
        <v>20847750</v>
      </c>
      <c r="F17" s="25">
        <v>1</v>
      </c>
      <c r="G17" s="25"/>
      <c r="H17" s="25"/>
      <c r="I17" s="51"/>
      <c r="J17" s="25">
        <v>10</v>
      </c>
      <c r="K17" s="51"/>
      <c r="L17" s="51"/>
      <c r="M17" s="51"/>
      <c r="N17" s="51"/>
      <c r="O17" s="51"/>
      <c r="P17" s="51"/>
    </row>
    <row r="18" spans="1:16">
      <c r="A18" s="1" t="s">
        <v>40</v>
      </c>
      <c r="B18" s="26">
        <v>385</v>
      </c>
      <c r="C18" s="25">
        <v>285</v>
      </c>
      <c r="D18" s="25">
        <v>150</v>
      </c>
      <c r="E18" s="51">
        <f>B18*C18*D18</f>
        <v>16458750</v>
      </c>
      <c r="F18" s="25">
        <v>1</v>
      </c>
      <c r="G18" s="25"/>
      <c r="H18" s="25"/>
      <c r="I18" s="51"/>
      <c r="J18" s="25">
        <v>10</v>
      </c>
      <c r="K18" s="51"/>
      <c r="L18" s="51"/>
      <c r="M18" s="51"/>
      <c r="N18" s="51"/>
      <c r="O18" s="51"/>
      <c r="P18" s="51"/>
    </row>
    <row r="19" spans="1:16">
      <c r="A19" s="1" t="s">
        <v>81</v>
      </c>
      <c r="B19" s="26">
        <v>385</v>
      </c>
      <c r="C19" s="25">
        <v>285</v>
      </c>
      <c r="D19" s="25">
        <v>95</v>
      </c>
      <c r="E19" s="51">
        <f>B19*C19*D19</f>
        <v>10423875</v>
      </c>
      <c r="F19" s="25">
        <v>1</v>
      </c>
      <c r="G19" s="25"/>
      <c r="H19" s="25"/>
      <c r="I19" s="51"/>
      <c r="J19" s="25">
        <v>10</v>
      </c>
      <c r="K19" s="51"/>
      <c r="L19" s="51"/>
      <c r="M19" s="51"/>
      <c r="N19" s="51"/>
      <c r="O19" s="51"/>
      <c r="P19" s="51"/>
    </row>
    <row r="20" spans="1:16">
      <c r="A20" s="1" t="s">
        <v>48</v>
      </c>
      <c r="B20" s="26">
        <v>590</v>
      </c>
      <c r="C20" s="25">
        <v>390</v>
      </c>
      <c r="D20" s="25">
        <v>150</v>
      </c>
      <c r="E20" s="51">
        <f t="shared" si="3"/>
        <v>34515000</v>
      </c>
      <c r="F20" s="25">
        <v>1</v>
      </c>
      <c r="G20" s="25"/>
      <c r="H20" s="25"/>
      <c r="I20" s="51"/>
      <c r="J20" s="25">
        <v>10</v>
      </c>
      <c r="K20" s="51"/>
      <c r="L20" s="51"/>
      <c r="M20" s="51"/>
      <c r="N20" s="51"/>
      <c r="O20" s="51"/>
      <c r="P20" s="51"/>
    </row>
    <row r="21" spans="1:16">
      <c r="A21" s="1" t="s">
        <v>44</v>
      </c>
      <c r="B21" s="26">
        <v>385</v>
      </c>
      <c r="C21" s="25">
        <v>285</v>
      </c>
      <c r="D21" s="25">
        <v>80</v>
      </c>
      <c r="E21" s="51">
        <f t="shared" si="3"/>
        <v>8778000</v>
      </c>
      <c r="F21" s="25">
        <v>1</v>
      </c>
      <c r="G21" s="25"/>
      <c r="H21" s="25"/>
      <c r="I21" s="51"/>
      <c r="J21" s="25">
        <v>10</v>
      </c>
      <c r="K21" s="51"/>
      <c r="L21" s="51"/>
      <c r="M21" s="51"/>
      <c r="N21" s="51"/>
      <c r="O21" s="51"/>
      <c r="P21" s="51"/>
    </row>
    <row r="22" spans="1:16">
      <c r="A22" s="1" t="s">
        <v>45</v>
      </c>
      <c r="B22" s="26">
        <v>390</v>
      </c>
      <c r="C22" s="25">
        <v>291</v>
      </c>
      <c r="D22" s="25">
        <v>90</v>
      </c>
      <c r="E22" s="51">
        <f t="shared" si="3"/>
        <v>10214100</v>
      </c>
      <c r="F22" s="25">
        <v>1</v>
      </c>
      <c r="G22" s="25"/>
      <c r="H22" s="25"/>
      <c r="I22" s="51"/>
      <c r="J22" s="25">
        <v>10</v>
      </c>
      <c r="K22" s="51"/>
      <c r="L22" s="51"/>
      <c r="M22" s="51"/>
      <c r="N22" s="51"/>
      <c r="O22" s="51"/>
      <c r="P22" s="51"/>
    </row>
    <row r="23" spans="1:16">
      <c r="A23" s="1" t="s">
        <v>46</v>
      </c>
      <c r="B23" s="26">
        <v>385</v>
      </c>
      <c r="C23" s="25">
        <v>285</v>
      </c>
      <c r="D23" s="25">
        <v>150</v>
      </c>
      <c r="E23" s="51">
        <f t="shared" si="3"/>
        <v>16458750</v>
      </c>
      <c r="F23" s="25">
        <v>1</v>
      </c>
      <c r="G23" s="25"/>
      <c r="H23" s="25"/>
      <c r="I23" s="51"/>
      <c r="J23" s="25">
        <v>10</v>
      </c>
      <c r="K23" s="51"/>
      <c r="L23" s="51"/>
      <c r="M23" s="51"/>
      <c r="N23" s="51"/>
      <c r="O23" s="51"/>
      <c r="P23" s="51"/>
    </row>
    <row r="24" spans="1:16">
      <c r="A24" s="1" t="s">
        <v>47</v>
      </c>
      <c r="B24" s="26">
        <v>390</v>
      </c>
      <c r="C24" s="25">
        <v>291</v>
      </c>
      <c r="D24" s="25">
        <v>210</v>
      </c>
      <c r="E24" s="51">
        <f t="shared" si="3"/>
        <v>23832900</v>
      </c>
      <c r="F24" s="25">
        <v>1</v>
      </c>
      <c r="G24" s="25"/>
      <c r="H24" s="25"/>
      <c r="I24" s="51"/>
      <c r="J24" s="25">
        <v>10</v>
      </c>
      <c r="K24" s="51"/>
      <c r="L24" s="51"/>
      <c r="M24" s="51"/>
      <c r="N24" s="51"/>
      <c r="O24" s="51"/>
      <c r="P24" s="51"/>
    </row>
    <row r="25" spans="1:16">
      <c r="A25" s="1" t="s">
        <v>41</v>
      </c>
      <c r="B25" s="26">
        <v>385</v>
      </c>
      <c r="C25" s="25">
        <v>265</v>
      </c>
      <c r="D25" s="25">
        <v>190</v>
      </c>
      <c r="E25" s="51">
        <f t="shared" si="3"/>
        <v>19384750</v>
      </c>
      <c r="F25" s="25">
        <v>1</v>
      </c>
      <c r="G25" s="25"/>
      <c r="H25" s="25"/>
      <c r="I25" s="51"/>
      <c r="J25" s="25">
        <v>12</v>
      </c>
      <c r="K25" s="51"/>
      <c r="L25" s="51"/>
      <c r="M25" s="51"/>
      <c r="N25" s="51"/>
      <c r="O25" s="51"/>
      <c r="P25" s="51"/>
    </row>
    <row r="26" spans="1:16">
      <c r="A26" s="1" t="s">
        <v>49</v>
      </c>
      <c r="B26" s="26">
        <v>400</v>
      </c>
      <c r="C26" s="25">
        <v>300</v>
      </c>
      <c r="D26" s="25">
        <v>145</v>
      </c>
      <c r="E26" s="51">
        <f t="shared" si="3"/>
        <v>17400000</v>
      </c>
      <c r="F26" s="25">
        <v>1</v>
      </c>
      <c r="G26" s="25"/>
      <c r="H26" s="25"/>
      <c r="I26" s="51"/>
      <c r="J26" s="25">
        <v>10</v>
      </c>
      <c r="K26" s="51"/>
      <c r="L26" s="51"/>
      <c r="M26" s="51"/>
      <c r="N26" s="51"/>
      <c r="O26" s="51"/>
      <c r="P26" s="51"/>
    </row>
    <row r="27" spans="1:16">
      <c r="A27" s="1" t="s">
        <v>67</v>
      </c>
      <c r="B27" s="26">
        <v>390</v>
      </c>
      <c r="C27" s="25">
        <v>300</v>
      </c>
      <c r="D27" s="25">
        <v>120</v>
      </c>
      <c r="E27" s="51">
        <f t="shared" si="3"/>
        <v>14040000</v>
      </c>
      <c r="F27" s="25">
        <v>1</v>
      </c>
      <c r="G27" s="25"/>
      <c r="H27" s="25"/>
      <c r="I27" s="51"/>
      <c r="J27" s="25">
        <v>10</v>
      </c>
      <c r="K27" s="51"/>
      <c r="L27" s="51"/>
      <c r="M27" s="51"/>
      <c r="N27" s="51"/>
      <c r="O27" s="51"/>
      <c r="P27" s="51"/>
    </row>
    <row r="28" spans="1:16">
      <c r="A28" s="1" t="s">
        <v>68</v>
      </c>
      <c r="B28" s="26">
        <v>600</v>
      </c>
      <c r="C28" s="25">
        <v>400</v>
      </c>
      <c r="D28" s="25">
        <v>230</v>
      </c>
      <c r="E28" s="51">
        <f t="shared" si="3"/>
        <v>55200000</v>
      </c>
      <c r="F28" s="25">
        <v>1</v>
      </c>
      <c r="G28" s="25"/>
      <c r="H28" s="25"/>
      <c r="I28" s="51"/>
      <c r="J28" s="25">
        <v>10</v>
      </c>
      <c r="K28" s="51"/>
      <c r="L28" s="51"/>
      <c r="M28" s="51"/>
      <c r="N28" s="51"/>
      <c r="O28" s="51"/>
      <c r="P28" s="51"/>
    </row>
    <row r="29" spans="1:16">
      <c r="A29" s="1" t="s">
        <v>87</v>
      </c>
      <c r="B29" s="26">
        <v>600</v>
      </c>
      <c r="C29" s="25">
        <v>400</v>
      </c>
      <c r="D29" s="25">
        <v>150</v>
      </c>
      <c r="E29" s="51">
        <f t="shared" si="3"/>
        <v>36000000</v>
      </c>
      <c r="F29" s="25">
        <v>1</v>
      </c>
      <c r="G29" s="25"/>
      <c r="H29" s="25"/>
      <c r="I29" s="51"/>
      <c r="J29" s="25">
        <v>10</v>
      </c>
      <c r="K29" s="51"/>
      <c r="L29" s="51"/>
      <c r="M29" s="51"/>
      <c r="N29" s="51"/>
      <c r="O29" s="51"/>
      <c r="P29" s="51"/>
    </row>
    <row r="30" spans="1:16">
      <c r="A30" s="1" t="s">
        <v>251</v>
      </c>
      <c r="B30" s="26">
        <v>1000</v>
      </c>
      <c r="C30" s="25">
        <v>800</v>
      </c>
      <c r="D30" s="25">
        <v>500</v>
      </c>
      <c r="E30" s="51">
        <f t="shared" ref="E30" si="6">B30*C30*D30</f>
        <v>400000000</v>
      </c>
      <c r="F30" s="25">
        <v>1</v>
      </c>
      <c r="G30" s="25"/>
      <c r="H30" s="25"/>
      <c r="I30" s="51"/>
      <c r="J30" s="25">
        <v>2000</v>
      </c>
      <c r="K30" s="51"/>
      <c r="L30" s="51"/>
      <c r="M30" s="51"/>
      <c r="N30" s="51"/>
      <c r="O30" s="51"/>
      <c r="P30" s="51"/>
    </row>
    <row r="31" spans="1:16">
      <c r="A31" s="1" t="s">
        <v>143</v>
      </c>
      <c r="B31" s="26"/>
      <c r="C31" s="25"/>
      <c r="D31" s="25"/>
      <c r="E31" s="25">
        <f t="shared" si="0"/>
        <v>0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>
      <c r="A32" s="1" t="s">
        <v>144</v>
      </c>
      <c r="B32" s="26"/>
      <c r="C32" s="25"/>
      <c r="D32" s="25"/>
      <c r="E32" s="25">
        <f t="shared" ref="E32:E95" si="7">B32*C32*D32</f>
        <v>0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>
      <c r="A33" s="1"/>
      <c r="B33" s="26"/>
      <c r="C33" s="25"/>
      <c r="D33" s="25"/>
      <c r="E33" s="25">
        <f t="shared" si="7"/>
        <v>0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>
      <c r="A34" s="1"/>
      <c r="B34" s="26"/>
      <c r="C34" s="25"/>
      <c r="D34" s="25"/>
      <c r="E34" s="25">
        <f t="shared" si="7"/>
        <v>0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>
      <c r="A35" s="1"/>
      <c r="B35" s="26"/>
      <c r="C35" s="25"/>
      <c r="D35" s="25"/>
      <c r="E35" s="25">
        <f t="shared" si="7"/>
        <v>0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>
      <c r="A36" s="1"/>
      <c r="B36" s="26"/>
      <c r="C36" s="25"/>
      <c r="D36" s="25"/>
      <c r="E36" s="25">
        <f t="shared" si="7"/>
        <v>0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>
      <c r="A37" s="1"/>
      <c r="B37" s="26"/>
      <c r="C37" s="25"/>
      <c r="D37" s="25"/>
      <c r="E37" s="25">
        <f t="shared" si="7"/>
        <v>0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>
      <c r="A38" s="1"/>
      <c r="B38" s="26"/>
      <c r="C38" s="25"/>
      <c r="D38" s="25"/>
      <c r="E38" s="25">
        <f t="shared" si="7"/>
        <v>0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>
      <c r="A39" s="1"/>
      <c r="B39" s="26"/>
      <c r="C39" s="25"/>
      <c r="D39" s="25"/>
      <c r="E39" s="25">
        <f t="shared" si="7"/>
        <v>0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>
      <c r="A40" s="1"/>
      <c r="B40" s="26"/>
      <c r="C40" s="25"/>
      <c r="D40" s="25"/>
      <c r="E40" s="25">
        <f t="shared" si="7"/>
        <v>0</v>
      </c>
      <c r="F40" s="25"/>
      <c r="G40" s="25"/>
      <c r="H40" s="25"/>
      <c r="I40" s="25"/>
      <c r="J40" s="25"/>
      <c r="K40" s="57"/>
      <c r="L40" s="57"/>
      <c r="M40" s="57"/>
      <c r="N40" s="57"/>
      <c r="O40" s="57"/>
      <c r="P40" s="57"/>
    </row>
    <row r="41" spans="1:16">
      <c r="A41" s="1"/>
      <c r="B41" s="26"/>
      <c r="C41" s="25"/>
      <c r="D41" s="25"/>
      <c r="E41" s="25">
        <f t="shared" si="7"/>
        <v>0</v>
      </c>
      <c r="F41" s="25"/>
      <c r="G41" s="25"/>
      <c r="H41" s="25"/>
      <c r="I41" s="25"/>
      <c r="J41" s="25"/>
      <c r="K41" s="57"/>
      <c r="L41" s="57"/>
      <c r="M41" s="57"/>
      <c r="N41" s="57"/>
      <c r="O41" s="57"/>
      <c r="P41" s="57"/>
    </row>
    <row r="42" spans="1:16">
      <c r="A42" s="1"/>
      <c r="B42" s="26"/>
      <c r="C42" s="25"/>
      <c r="D42" s="25"/>
      <c r="E42" s="25">
        <f t="shared" si="7"/>
        <v>0</v>
      </c>
      <c r="F42" s="25"/>
      <c r="G42" s="25"/>
      <c r="H42" s="25"/>
      <c r="I42" s="25"/>
      <c r="J42" s="25"/>
      <c r="K42" s="57"/>
      <c r="L42" s="57"/>
      <c r="M42" s="57"/>
      <c r="N42" s="57"/>
      <c r="O42" s="57"/>
      <c r="P42" s="57"/>
    </row>
    <row r="43" spans="1:16">
      <c r="A43" s="1"/>
      <c r="B43" s="26"/>
      <c r="C43" s="25"/>
      <c r="D43" s="25"/>
      <c r="E43" s="25">
        <f t="shared" si="7"/>
        <v>0</v>
      </c>
      <c r="F43" s="25"/>
      <c r="G43" s="25"/>
      <c r="H43" s="25"/>
      <c r="I43" s="25"/>
      <c r="J43" s="25"/>
      <c r="K43" s="57"/>
      <c r="L43" s="57"/>
      <c r="M43" s="57"/>
      <c r="N43" s="57"/>
      <c r="O43" s="57"/>
      <c r="P43" s="57"/>
    </row>
    <row r="44" spans="1:16">
      <c r="A44" s="1"/>
      <c r="B44" s="26"/>
      <c r="C44" s="25"/>
      <c r="D44" s="25"/>
      <c r="E44" s="25">
        <f t="shared" si="7"/>
        <v>0</v>
      </c>
      <c r="F44" s="25"/>
      <c r="G44" s="25"/>
      <c r="H44" s="25"/>
      <c r="I44" s="25"/>
      <c r="J44" s="25"/>
      <c r="K44" s="57"/>
      <c r="L44" s="57"/>
      <c r="M44" s="57"/>
      <c r="N44" s="57"/>
      <c r="O44" s="57"/>
      <c r="P44" s="57"/>
    </row>
    <row r="45" spans="1:16">
      <c r="A45" s="1"/>
      <c r="B45" s="26"/>
      <c r="C45" s="25"/>
      <c r="D45" s="25"/>
      <c r="E45" s="25">
        <f t="shared" si="7"/>
        <v>0</v>
      </c>
      <c r="F45" s="25"/>
      <c r="G45" s="25"/>
      <c r="H45" s="25"/>
      <c r="I45" s="25"/>
      <c r="J45" s="25"/>
      <c r="K45" s="57"/>
      <c r="L45" s="57"/>
      <c r="M45" s="57"/>
      <c r="N45" s="57"/>
      <c r="O45" s="57"/>
      <c r="P45" s="57"/>
    </row>
    <row r="46" spans="1:16">
      <c r="A46" s="1"/>
      <c r="B46" s="26"/>
      <c r="C46" s="25"/>
      <c r="D46" s="25"/>
      <c r="E46" s="25">
        <f t="shared" si="7"/>
        <v>0</v>
      </c>
      <c r="F46" s="25"/>
      <c r="G46" s="25"/>
      <c r="H46" s="25"/>
      <c r="I46" s="25"/>
      <c r="J46" s="25"/>
      <c r="K46" s="57"/>
      <c r="L46" s="57"/>
      <c r="M46" s="57"/>
      <c r="N46" s="57"/>
      <c r="O46" s="57"/>
      <c r="P46" s="57"/>
    </row>
    <row r="47" spans="1:16">
      <c r="A47" s="1"/>
      <c r="B47" s="26"/>
      <c r="C47" s="25"/>
      <c r="D47" s="25"/>
      <c r="E47" s="25">
        <f t="shared" si="7"/>
        <v>0</v>
      </c>
      <c r="F47" s="25"/>
      <c r="G47" s="25"/>
      <c r="H47" s="25"/>
      <c r="I47" s="25"/>
      <c r="J47" s="25"/>
      <c r="K47" s="57"/>
      <c r="L47" s="57"/>
      <c r="M47" s="57"/>
      <c r="N47" s="57"/>
      <c r="O47" s="57"/>
      <c r="P47" s="57"/>
    </row>
    <row r="48" spans="1:16">
      <c r="A48" s="1"/>
      <c r="B48" s="26"/>
      <c r="C48" s="25"/>
      <c r="D48" s="25"/>
      <c r="E48" s="25">
        <f t="shared" si="7"/>
        <v>0</v>
      </c>
      <c r="F48" s="25"/>
      <c r="G48" s="25"/>
      <c r="H48" s="25"/>
      <c r="I48" s="25"/>
      <c r="J48" s="25"/>
      <c r="K48" s="57"/>
      <c r="L48" s="57"/>
      <c r="M48" s="57"/>
      <c r="N48" s="57"/>
      <c r="O48" s="57"/>
      <c r="P48" s="57"/>
    </row>
    <row r="49" spans="1:16">
      <c r="A49" s="1"/>
      <c r="B49" s="26"/>
      <c r="C49" s="25"/>
      <c r="D49" s="25"/>
      <c r="E49" s="25">
        <f t="shared" si="7"/>
        <v>0</v>
      </c>
      <c r="F49" s="25"/>
      <c r="G49" s="25"/>
      <c r="H49" s="25"/>
      <c r="I49" s="25"/>
      <c r="J49" s="25"/>
      <c r="K49" s="57"/>
      <c r="L49" s="57"/>
      <c r="M49" s="57"/>
      <c r="N49" s="57"/>
      <c r="O49" s="57"/>
      <c r="P49" s="57"/>
    </row>
    <row r="50" spans="1:16">
      <c r="A50" s="1"/>
      <c r="B50" s="26"/>
      <c r="C50" s="25"/>
      <c r="D50" s="25"/>
      <c r="E50" s="25">
        <f t="shared" si="7"/>
        <v>0</v>
      </c>
      <c r="F50" s="25"/>
      <c r="G50" s="25"/>
      <c r="H50" s="25"/>
      <c r="I50" s="25"/>
      <c r="J50" s="25"/>
      <c r="K50" s="57"/>
      <c r="L50" s="57"/>
      <c r="M50" s="57"/>
      <c r="N50" s="57"/>
      <c r="O50" s="57"/>
      <c r="P50" s="57"/>
    </row>
    <row r="51" spans="1:16">
      <c r="A51" s="1"/>
      <c r="B51" s="26"/>
      <c r="C51" s="25"/>
      <c r="D51" s="25"/>
      <c r="E51" s="25">
        <f t="shared" si="7"/>
        <v>0</v>
      </c>
      <c r="F51" s="25"/>
      <c r="G51" s="25"/>
      <c r="H51" s="25"/>
      <c r="I51" s="25"/>
      <c r="J51" s="25"/>
      <c r="K51" s="57"/>
      <c r="L51" s="57"/>
      <c r="M51" s="57"/>
      <c r="N51" s="57"/>
      <c r="O51" s="57"/>
      <c r="P51" s="57"/>
    </row>
    <row r="52" spans="1:16">
      <c r="A52" s="1"/>
      <c r="B52" s="26"/>
      <c r="C52" s="25"/>
      <c r="D52" s="25"/>
      <c r="E52" s="25">
        <f t="shared" si="7"/>
        <v>0</v>
      </c>
      <c r="F52" s="25"/>
      <c r="G52" s="25"/>
      <c r="H52" s="25"/>
      <c r="I52" s="25"/>
      <c r="J52" s="25"/>
      <c r="K52" s="57"/>
      <c r="L52" s="57"/>
      <c r="M52" s="57"/>
      <c r="N52" s="57"/>
      <c r="O52" s="57"/>
      <c r="P52" s="57"/>
    </row>
    <row r="53" spans="1:16">
      <c r="A53" s="1"/>
      <c r="B53" s="26"/>
      <c r="C53" s="25"/>
      <c r="D53" s="25"/>
      <c r="E53" s="25">
        <f t="shared" si="7"/>
        <v>0</v>
      </c>
      <c r="F53" s="25"/>
      <c r="G53" s="25"/>
      <c r="H53" s="25"/>
      <c r="I53" s="25"/>
      <c r="J53" s="25"/>
      <c r="K53" s="57"/>
      <c r="L53" s="57"/>
      <c r="M53" s="57"/>
      <c r="N53" s="57"/>
      <c r="O53" s="57"/>
      <c r="P53" s="57"/>
    </row>
    <row r="54" spans="1:16">
      <c r="A54" s="1"/>
      <c r="B54" s="26"/>
      <c r="C54" s="25"/>
      <c r="D54" s="25"/>
      <c r="E54" s="25">
        <f t="shared" si="7"/>
        <v>0</v>
      </c>
      <c r="F54" s="25"/>
      <c r="G54" s="25"/>
      <c r="H54" s="25"/>
      <c r="I54" s="25"/>
      <c r="J54" s="25"/>
      <c r="K54" s="57"/>
      <c r="L54" s="57"/>
      <c r="M54" s="57"/>
      <c r="N54" s="57"/>
      <c r="O54" s="57"/>
      <c r="P54" s="57"/>
    </row>
    <row r="55" spans="1:16">
      <c r="A55" s="1"/>
      <c r="B55" s="26"/>
      <c r="C55" s="25"/>
      <c r="D55" s="25"/>
      <c r="E55" s="25">
        <f t="shared" si="7"/>
        <v>0</v>
      </c>
      <c r="F55" s="25"/>
      <c r="G55" s="25"/>
      <c r="H55" s="25"/>
      <c r="I55" s="25"/>
      <c r="J55" s="25"/>
      <c r="K55" s="57"/>
      <c r="L55" s="57"/>
      <c r="M55" s="57"/>
      <c r="N55" s="57"/>
      <c r="O55" s="57"/>
      <c r="P55" s="57"/>
    </row>
    <row r="56" spans="1:16">
      <c r="A56" s="1"/>
      <c r="B56" s="26"/>
      <c r="C56" s="25"/>
      <c r="D56" s="25"/>
      <c r="E56" s="25">
        <f t="shared" si="7"/>
        <v>0</v>
      </c>
      <c r="F56" s="25"/>
      <c r="G56" s="25"/>
      <c r="H56" s="25"/>
      <c r="I56" s="25"/>
      <c r="J56" s="25"/>
      <c r="K56" s="57"/>
      <c r="L56" s="57"/>
      <c r="M56" s="57"/>
      <c r="N56" s="57"/>
      <c r="O56" s="57"/>
      <c r="P56" s="57"/>
    </row>
    <row r="57" spans="1:16">
      <c r="A57" s="1"/>
      <c r="B57" s="26"/>
      <c r="C57" s="25"/>
      <c r="D57" s="25"/>
      <c r="E57" s="25">
        <f t="shared" si="7"/>
        <v>0</v>
      </c>
      <c r="F57" s="25"/>
      <c r="G57" s="25"/>
      <c r="H57" s="25"/>
      <c r="I57" s="25"/>
      <c r="J57" s="25"/>
      <c r="K57" s="57"/>
      <c r="L57" s="57"/>
      <c r="M57" s="57"/>
      <c r="N57" s="57"/>
      <c r="O57" s="57"/>
      <c r="P57" s="57"/>
    </row>
    <row r="58" spans="1:16">
      <c r="A58" s="1"/>
      <c r="B58" s="26"/>
      <c r="C58" s="25"/>
      <c r="D58" s="25"/>
      <c r="E58" s="25">
        <f t="shared" si="7"/>
        <v>0</v>
      </c>
      <c r="F58" s="25"/>
      <c r="G58" s="25"/>
      <c r="H58" s="25"/>
      <c r="I58" s="25"/>
      <c r="J58" s="25"/>
      <c r="K58" s="57"/>
      <c r="L58" s="57"/>
      <c r="M58" s="57"/>
      <c r="N58" s="57"/>
      <c r="O58" s="57"/>
      <c r="P58" s="57"/>
    </row>
    <row r="59" spans="1:16">
      <c r="A59" s="1"/>
      <c r="B59" s="26"/>
      <c r="C59" s="25"/>
      <c r="D59" s="25"/>
      <c r="E59" s="25">
        <f t="shared" si="7"/>
        <v>0</v>
      </c>
      <c r="F59" s="25"/>
      <c r="G59" s="25"/>
      <c r="H59" s="25"/>
      <c r="I59" s="25"/>
      <c r="J59" s="25"/>
      <c r="K59" s="57"/>
      <c r="L59" s="57"/>
      <c r="M59" s="57"/>
      <c r="N59" s="57"/>
      <c r="O59" s="57"/>
      <c r="P59" s="57"/>
    </row>
    <row r="60" spans="1:16">
      <c r="A60" s="1"/>
      <c r="B60" s="26"/>
      <c r="C60" s="25"/>
      <c r="D60" s="25"/>
      <c r="E60" s="25">
        <f t="shared" si="7"/>
        <v>0</v>
      </c>
      <c r="F60" s="25"/>
      <c r="G60" s="25"/>
      <c r="H60" s="25"/>
      <c r="I60" s="25"/>
      <c r="J60" s="25"/>
      <c r="K60" s="57"/>
      <c r="L60" s="57"/>
      <c r="M60" s="57"/>
      <c r="N60" s="57"/>
      <c r="O60" s="57"/>
      <c r="P60" s="57"/>
    </row>
    <row r="61" spans="1:16">
      <c r="A61" s="1"/>
      <c r="B61" s="26"/>
      <c r="C61" s="25"/>
      <c r="D61" s="25"/>
      <c r="E61" s="25">
        <f t="shared" si="7"/>
        <v>0</v>
      </c>
      <c r="F61" s="25"/>
      <c r="G61" s="25"/>
      <c r="H61" s="25"/>
      <c r="I61" s="25"/>
      <c r="J61" s="25"/>
      <c r="K61" s="57"/>
      <c r="L61" s="57"/>
      <c r="M61" s="57"/>
      <c r="N61" s="57"/>
      <c r="O61" s="57"/>
      <c r="P61" s="57"/>
    </row>
    <row r="62" spans="1:16">
      <c r="A62" s="1"/>
      <c r="B62" s="26"/>
      <c r="C62" s="25"/>
      <c r="D62" s="25"/>
      <c r="E62" s="25">
        <f t="shared" si="7"/>
        <v>0</v>
      </c>
      <c r="F62" s="25"/>
      <c r="G62" s="25"/>
      <c r="H62" s="25"/>
      <c r="I62" s="25"/>
      <c r="J62" s="25"/>
      <c r="K62" s="57"/>
      <c r="L62" s="57"/>
      <c r="M62" s="57"/>
      <c r="N62" s="57"/>
      <c r="O62" s="57"/>
      <c r="P62" s="57"/>
    </row>
    <row r="63" spans="1:16">
      <c r="A63" s="1"/>
      <c r="B63" s="26"/>
      <c r="C63" s="25"/>
      <c r="D63" s="25"/>
      <c r="E63" s="25">
        <f t="shared" si="7"/>
        <v>0</v>
      </c>
      <c r="F63" s="25"/>
      <c r="G63" s="25"/>
      <c r="H63" s="25"/>
      <c r="I63" s="25"/>
      <c r="J63" s="25"/>
      <c r="K63" s="57"/>
      <c r="L63" s="57"/>
      <c r="M63" s="57"/>
      <c r="N63" s="57"/>
      <c r="O63" s="57"/>
      <c r="P63" s="57"/>
    </row>
    <row r="64" spans="1:16">
      <c r="A64" s="1"/>
      <c r="B64" s="26"/>
      <c r="C64" s="25"/>
      <c r="D64" s="25"/>
      <c r="E64" s="25">
        <f t="shared" si="7"/>
        <v>0</v>
      </c>
      <c r="F64" s="25"/>
      <c r="G64" s="25"/>
      <c r="H64" s="25"/>
      <c r="I64" s="25"/>
      <c r="J64" s="25"/>
      <c r="K64" s="57"/>
      <c r="L64" s="57"/>
      <c r="M64" s="57"/>
      <c r="N64" s="57"/>
      <c r="O64" s="57"/>
      <c r="P64" s="57"/>
    </row>
    <row r="65" spans="1:16">
      <c r="A65" s="1"/>
      <c r="B65" s="26"/>
      <c r="C65" s="25"/>
      <c r="D65" s="25"/>
      <c r="E65" s="25">
        <f t="shared" si="7"/>
        <v>0</v>
      </c>
      <c r="F65" s="25"/>
      <c r="G65" s="25"/>
      <c r="H65" s="25"/>
      <c r="I65" s="25"/>
      <c r="J65" s="25"/>
      <c r="K65" s="57"/>
      <c r="L65" s="57"/>
      <c r="M65" s="57"/>
      <c r="N65" s="57"/>
      <c r="O65" s="57"/>
      <c r="P65" s="57"/>
    </row>
    <row r="66" spans="1:16">
      <c r="A66" s="1"/>
      <c r="B66" s="26"/>
      <c r="C66" s="25"/>
      <c r="D66" s="25"/>
      <c r="E66" s="25">
        <f t="shared" si="7"/>
        <v>0</v>
      </c>
      <c r="F66" s="25"/>
      <c r="G66" s="25"/>
      <c r="H66" s="25"/>
      <c r="I66" s="25"/>
      <c r="J66" s="25"/>
      <c r="K66" s="57"/>
      <c r="L66" s="57"/>
      <c r="M66" s="57"/>
      <c r="N66" s="57"/>
      <c r="O66" s="57"/>
      <c r="P66" s="57"/>
    </row>
    <row r="67" spans="1:16">
      <c r="A67" s="1"/>
      <c r="B67" s="26"/>
      <c r="C67" s="25"/>
      <c r="D67" s="25"/>
      <c r="E67" s="25">
        <f t="shared" si="7"/>
        <v>0</v>
      </c>
      <c r="F67" s="25"/>
      <c r="G67" s="25"/>
      <c r="H67" s="25"/>
      <c r="I67" s="25"/>
      <c r="J67" s="25"/>
      <c r="K67" s="57"/>
      <c r="L67" s="57"/>
      <c r="M67" s="57"/>
      <c r="N67" s="57"/>
      <c r="O67" s="57"/>
      <c r="P67" s="57"/>
    </row>
    <row r="68" spans="1:16">
      <c r="A68" s="1"/>
      <c r="B68" s="26"/>
      <c r="C68" s="25"/>
      <c r="D68" s="25"/>
      <c r="E68" s="25">
        <f t="shared" si="7"/>
        <v>0</v>
      </c>
      <c r="F68" s="25"/>
      <c r="G68" s="25"/>
      <c r="H68" s="25"/>
      <c r="I68" s="25"/>
      <c r="J68" s="25"/>
      <c r="K68" s="57"/>
      <c r="L68" s="57"/>
      <c r="M68" s="57"/>
      <c r="N68" s="57"/>
      <c r="O68" s="57"/>
      <c r="P68" s="57"/>
    </row>
    <row r="69" spans="1:16">
      <c r="A69" s="1"/>
      <c r="B69" s="26"/>
      <c r="C69" s="25"/>
      <c r="D69" s="25"/>
      <c r="E69" s="25">
        <f t="shared" si="7"/>
        <v>0</v>
      </c>
      <c r="F69" s="25"/>
      <c r="G69" s="25"/>
      <c r="H69" s="25"/>
      <c r="I69" s="25"/>
      <c r="J69" s="25"/>
      <c r="K69" s="57"/>
      <c r="L69" s="57"/>
      <c r="M69" s="57"/>
      <c r="N69" s="57"/>
      <c r="O69" s="57"/>
      <c r="P69" s="57"/>
    </row>
    <row r="70" spans="1:16">
      <c r="A70" s="1"/>
      <c r="B70" s="26"/>
      <c r="C70" s="25"/>
      <c r="D70" s="25"/>
      <c r="E70" s="25">
        <f t="shared" si="7"/>
        <v>0</v>
      </c>
      <c r="F70" s="25"/>
      <c r="G70" s="25"/>
      <c r="H70" s="25"/>
      <c r="I70" s="25"/>
      <c r="J70" s="25"/>
      <c r="K70" s="57"/>
      <c r="L70" s="57"/>
      <c r="M70" s="57"/>
      <c r="N70" s="57"/>
      <c r="O70" s="57"/>
      <c r="P70" s="57"/>
    </row>
    <row r="71" spans="1:16">
      <c r="A71" s="1"/>
      <c r="B71" s="26"/>
      <c r="C71" s="25"/>
      <c r="D71" s="25"/>
      <c r="E71" s="25">
        <f t="shared" si="7"/>
        <v>0</v>
      </c>
      <c r="F71" s="25"/>
      <c r="G71" s="25"/>
      <c r="H71" s="25"/>
      <c r="I71" s="25"/>
      <c r="J71" s="25"/>
      <c r="K71" s="57"/>
      <c r="L71" s="57"/>
      <c r="M71" s="57"/>
      <c r="N71" s="57"/>
      <c r="O71" s="57"/>
      <c r="P71" s="57"/>
    </row>
    <row r="72" spans="1:16">
      <c r="A72" s="1"/>
      <c r="B72" s="26"/>
      <c r="C72" s="25"/>
      <c r="D72" s="25"/>
      <c r="E72" s="25">
        <f t="shared" si="7"/>
        <v>0</v>
      </c>
      <c r="F72" s="25"/>
      <c r="G72" s="25"/>
      <c r="H72" s="25"/>
      <c r="I72" s="25"/>
      <c r="J72" s="25"/>
      <c r="K72" s="57"/>
      <c r="L72" s="57"/>
      <c r="M72" s="57"/>
      <c r="N72" s="57"/>
      <c r="O72" s="57"/>
      <c r="P72" s="57"/>
    </row>
    <row r="73" spans="1:16">
      <c r="A73" s="1"/>
      <c r="B73" s="26"/>
      <c r="C73" s="25"/>
      <c r="D73" s="25"/>
      <c r="E73" s="25">
        <f t="shared" si="7"/>
        <v>0</v>
      </c>
      <c r="F73" s="25"/>
      <c r="G73" s="25"/>
      <c r="H73" s="25"/>
      <c r="I73" s="25"/>
      <c r="J73" s="25"/>
      <c r="K73" s="57"/>
      <c r="L73" s="57"/>
      <c r="M73" s="57"/>
      <c r="N73" s="57"/>
      <c r="O73" s="57"/>
      <c r="P73" s="57"/>
    </row>
    <row r="74" spans="1:16">
      <c r="A74" s="1"/>
      <c r="B74" s="26"/>
      <c r="C74" s="25"/>
      <c r="D74" s="25"/>
      <c r="E74" s="25">
        <f t="shared" si="7"/>
        <v>0</v>
      </c>
      <c r="F74" s="25"/>
      <c r="G74" s="25"/>
      <c r="H74" s="25"/>
      <c r="I74" s="25"/>
      <c r="J74" s="25"/>
      <c r="K74" s="57"/>
      <c r="L74" s="57"/>
      <c r="M74" s="57"/>
      <c r="N74" s="57"/>
      <c r="O74" s="57"/>
      <c r="P74" s="57"/>
    </row>
    <row r="75" spans="1:16">
      <c r="A75" s="1"/>
      <c r="B75" s="26"/>
      <c r="C75" s="25"/>
      <c r="D75" s="25"/>
      <c r="E75" s="25">
        <f t="shared" si="7"/>
        <v>0</v>
      </c>
      <c r="F75" s="25"/>
      <c r="G75" s="25"/>
      <c r="H75" s="25"/>
      <c r="I75" s="25"/>
      <c r="J75" s="25"/>
      <c r="K75" s="57"/>
      <c r="L75" s="57"/>
      <c r="M75" s="57"/>
      <c r="N75" s="57"/>
      <c r="O75" s="57"/>
      <c r="P75" s="57"/>
    </row>
    <row r="76" spans="1:16">
      <c r="A76" s="1"/>
      <c r="B76" s="26"/>
      <c r="C76" s="25"/>
      <c r="D76" s="25"/>
      <c r="E76" s="25">
        <f t="shared" si="7"/>
        <v>0</v>
      </c>
      <c r="F76" s="25"/>
      <c r="G76" s="25"/>
      <c r="H76" s="25"/>
      <c r="I76" s="25"/>
      <c r="J76" s="25"/>
      <c r="K76" s="57"/>
      <c r="L76" s="57"/>
      <c r="M76" s="57"/>
      <c r="N76" s="57"/>
      <c r="O76" s="57"/>
      <c r="P76" s="57"/>
    </row>
    <row r="77" spans="1:16">
      <c r="A77" s="1"/>
      <c r="B77" s="26"/>
      <c r="C77" s="25"/>
      <c r="D77" s="25"/>
      <c r="E77" s="25">
        <f t="shared" si="7"/>
        <v>0</v>
      </c>
      <c r="F77" s="25"/>
      <c r="G77" s="25"/>
      <c r="H77" s="25"/>
      <c r="I77" s="25"/>
      <c r="J77" s="25"/>
      <c r="K77" s="57"/>
      <c r="L77" s="57"/>
      <c r="M77" s="57"/>
      <c r="N77" s="57"/>
      <c r="O77" s="57"/>
      <c r="P77" s="57"/>
    </row>
    <row r="78" spans="1:16">
      <c r="A78" s="1"/>
      <c r="B78" s="26"/>
      <c r="C78" s="25"/>
      <c r="D78" s="25"/>
      <c r="E78" s="25">
        <f t="shared" si="7"/>
        <v>0</v>
      </c>
      <c r="F78" s="25"/>
      <c r="G78" s="25"/>
      <c r="H78" s="25"/>
      <c r="I78" s="25"/>
      <c r="J78" s="25"/>
      <c r="K78" s="57"/>
      <c r="L78" s="57"/>
      <c r="M78" s="57"/>
      <c r="N78" s="57"/>
      <c r="O78" s="57"/>
      <c r="P78" s="57"/>
    </row>
    <row r="79" spans="1:16">
      <c r="A79" s="1"/>
      <c r="B79" s="26"/>
      <c r="C79" s="25"/>
      <c r="D79" s="25"/>
      <c r="E79" s="25">
        <f t="shared" si="7"/>
        <v>0</v>
      </c>
      <c r="F79" s="25"/>
      <c r="G79" s="25"/>
      <c r="H79" s="25"/>
      <c r="I79" s="25"/>
      <c r="J79" s="25"/>
      <c r="K79" s="57"/>
      <c r="L79" s="57"/>
      <c r="M79" s="57"/>
      <c r="N79" s="57"/>
      <c r="O79" s="57"/>
      <c r="P79" s="57"/>
    </row>
    <row r="80" spans="1:16">
      <c r="A80" s="1"/>
      <c r="B80" s="26"/>
      <c r="C80" s="25"/>
      <c r="D80" s="25"/>
      <c r="E80" s="25">
        <f t="shared" si="7"/>
        <v>0</v>
      </c>
      <c r="F80" s="25"/>
      <c r="G80" s="25"/>
      <c r="H80" s="25"/>
      <c r="I80" s="25"/>
      <c r="J80" s="25"/>
      <c r="K80" s="57"/>
      <c r="L80" s="57"/>
      <c r="M80" s="57"/>
      <c r="N80" s="57"/>
      <c r="O80" s="57"/>
      <c r="P80" s="57"/>
    </row>
    <row r="81" spans="1:16">
      <c r="A81" s="1"/>
      <c r="B81" s="26"/>
      <c r="C81" s="25"/>
      <c r="D81" s="25"/>
      <c r="E81" s="25">
        <f t="shared" si="7"/>
        <v>0</v>
      </c>
      <c r="F81" s="25"/>
      <c r="G81" s="25"/>
      <c r="H81" s="25"/>
      <c r="I81" s="25"/>
      <c r="J81" s="25"/>
      <c r="K81" s="57"/>
      <c r="L81" s="57"/>
      <c r="M81" s="57"/>
      <c r="N81" s="57"/>
      <c r="O81" s="57"/>
      <c r="P81" s="57"/>
    </row>
    <row r="82" spans="1:16">
      <c r="A82" s="1"/>
      <c r="B82" s="26"/>
      <c r="C82" s="25"/>
      <c r="D82" s="25"/>
      <c r="E82" s="25">
        <f t="shared" si="7"/>
        <v>0</v>
      </c>
      <c r="F82" s="25"/>
      <c r="G82" s="25"/>
      <c r="H82" s="25"/>
      <c r="I82" s="25"/>
      <c r="J82" s="25"/>
      <c r="K82" s="57"/>
      <c r="L82" s="57"/>
      <c r="M82" s="57"/>
      <c r="N82" s="57"/>
      <c r="O82" s="57"/>
      <c r="P82" s="57"/>
    </row>
    <row r="83" spans="1:16">
      <c r="A83" s="1"/>
      <c r="B83" s="26"/>
      <c r="C83" s="25"/>
      <c r="D83" s="25"/>
      <c r="E83" s="25">
        <f t="shared" si="7"/>
        <v>0</v>
      </c>
      <c r="F83" s="25"/>
      <c r="G83" s="25"/>
      <c r="H83" s="25"/>
      <c r="I83" s="25"/>
      <c r="J83" s="25"/>
      <c r="K83" s="57"/>
      <c r="L83" s="57"/>
      <c r="M83" s="57"/>
      <c r="N83" s="57"/>
      <c r="O83" s="57"/>
      <c r="P83" s="57"/>
    </row>
    <row r="84" spans="1:16">
      <c r="A84" s="1"/>
      <c r="B84" s="26"/>
      <c r="C84" s="25"/>
      <c r="D84" s="25"/>
      <c r="E84" s="25">
        <f t="shared" si="7"/>
        <v>0</v>
      </c>
      <c r="F84" s="25"/>
      <c r="G84" s="25"/>
      <c r="H84" s="25"/>
      <c r="I84" s="25"/>
      <c r="J84" s="25"/>
      <c r="K84" s="57"/>
      <c r="L84" s="57"/>
      <c r="M84" s="57"/>
      <c r="N84" s="57"/>
      <c r="O84" s="57"/>
      <c r="P84" s="57"/>
    </row>
    <row r="85" spans="1:16">
      <c r="A85" s="1"/>
      <c r="B85" s="26"/>
      <c r="C85" s="25"/>
      <c r="D85" s="25"/>
      <c r="E85" s="25">
        <f t="shared" si="7"/>
        <v>0</v>
      </c>
      <c r="F85" s="25"/>
      <c r="G85" s="25"/>
      <c r="H85" s="25"/>
      <c r="I85" s="25"/>
      <c r="J85" s="25"/>
      <c r="K85" s="57"/>
      <c r="L85" s="57"/>
      <c r="M85" s="57"/>
      <c r="N85" s="57"/>
      <c r="O85" s="57"/>
      <c r="P85" s="57"/>
    </row>
    <row r="86" spans="1:16">
      <c r="A86" s="1"/>
      <c r="B86" s="26"/>
      <c r="C86" s="25"/>
      <c r="D86" s="25"/>
      <c r="E86" s="25">
        <f t="shared" si="7"/>
        <v>0</v>
      </c>
      <c r="F86" s="25"/>
      <c r="G86" s="25"/>
      <c r="H86" s="25"/>
      <c r="I86" s="25"/>
      <c r="J86" s="25"/>
      <c r="K86" s="57"/>
      <c r="L86" s="57"/>
      <c r="M86" s="57"/>
      <c r="N86" s="57"/>
      <c r="O86" s="57"/>
      <c r="P86" s="57"/>
    </row>
    <row r="87" spans="1:16">
      <c r="A87" s="1"/>
      <c r="B87" s="26"/>
      <c r="C87" s="25"/>
      <c r="D87" s="25"/>
      <c r="E87" s="25">
        <f t="shared" si="7"/>
        <v>0</v>
      </c>
      <c r="F87" s="25"/>
      <c r="G87" s="25"/>
      <c r="H87" s="25"/>
      <c r="I87" s="25"/>
      <c r="J87" s="25"/>
      <c r="K87" s="57"/>
      <c r="L87" s="57"/>
      <c r="M87" s="57"/>
      <c r="N87" s="57"/>
      <c r="O87" s="57"/>
      <c r="P87" s="57"/>
    </row>
    <row r="88" spans="1:16">
      <c r="A88" s="1"/>
      <c r="B88" s="26"/>
      <c r="C88" s="25"/>
      <c r="D88" s="25"/>
      <c r="E88" s="25">
        <f t="shared" si="7"/>
        <v>0</v>
      </c>
      <c r="F88" s="25"/>
      <c r="G88" s="25"/>
      <c r="H88" s="25"/>
      <c r="I88" s="25"/>
      <c r="J88" s="25"/>
      <c r="K88" s="57"/>
      <c r="L88" s="57"/>
      <c r="M88" s="57"/>
      <c r="N88" s="57"/>
      <c r="O88" s="57"/>
      <c r="P88" s="57"/>
    </row>
    <row r="89" spans="1:16">
      <c r="A89" s="1"/>
      <c r="B89" s="26"/>
      <c r="C89" s="25"/>
      <c r="D89" s="25"/>
      <c r="E89" s="25">
        <f t="shared" si="7"/>
        <v>0</v>
      </c>
      <c r="F89" s="25"/>
      <c r="G89" s="25"/>
      <c r="H89" s="25"/>
      <c r="I89" s="25"/>
      <c r="J89" s="25"/>
      <c r="K89" s="57"/>
      <c r="L89" s="57"/>
      <c r="M89" s="57"/>
      <c r="N89" s="57"/>
      <c r="O89" s="57"/>
      <c r="P89" s="57"/>
    </row>
    <row r="90" spans="1:16">
      <c r="A90" s="1"/>
      <c r="B90" s="26"/>
      <c r="C90" s="25"/>
      <c r="D90" s="25"/>
      <c r="E90" s="25">
        <f t="shared" si="7"/>
        <v>0</v>
      </c>
      <c r="F90" s="25"/>
      <c r="G90" s="25"/>
      <c r="H90" s="25"/>
      <c r="I90" s="25"/>
      <c r="J90" s="25"/>
      <c r="K90" s="57"/>
      <c r="L90" s="57"/>
      <c r="M90" s="57"/>
      <c r="N90" s="57"/>
      <c r="O90" s="57"/>
      <c r="P90" s="57"/>
    </row>
    <row r="91" spans="1:16">
      <c r="A91" s="1"/>
      <c r="B91" s="26"/>
      <c r="C91" s="25"/>
      <c r="D91" s="25"/>
      <c r="E91" s="25">
        <f t="shared" si="7"/>
        <v>0</v>
      </c>
      <c r="F91" s="25"/>
      <c r="G91" s="25"/>
      <c r="H91" s="25"/>
      <c r="I91" s="25"/>
      <c r="J91" s="25"/>
      <c r="K91" s="57"/>
      <c r="L91" s="57"/>
      <c r="M91" s="57"/>
      <c r="N91" s="57"/>
      <c r="O91" s="57"/>
      <c r="P91" s="57"/>
    </row>
    <row r="92" spans="1:16">
      <c r="A92" s="1"/>
      <c r="B92" s="26"/>
      <c r="C92" s="25"/>
      <c r="D92" s="25"/>
      <c r="E92" s="25">
        <f t="shared" si="7"/>
        <v>0</v>
      </c>
      <c r="F92" s="25"/>
      <c r="G92" s="25"/>
      <c r="H92" s="25"/>
      <c r="I92" s="25"/>
      <c r="J92" s="25"/>
      <c r="K92" s="57"/>
      <c r="L92" s="57"/>
      <c r="M92" s="57"/>
      <c r="N92" s="57"/>
      <c r="O92" s="57"/>
      <c r="P92" s="57"/>
    </row>
    <row r="93" spans="1:16">
      <c r="A93" s="1"/>
      <c r="B93" s="26"/>
      <c r="C93" s="25"/>
      <c r="D93" s="25"/>
      <c r="E93" s="25">
        <f t="shared" si="7"/>
        <v>0</v>
      </c>
      <c r="F93" s="25"/>
      <c r="G93" s="25"/>
      <c r="H93" s="25"/>
      <c r="I93" s="25"/>
      <c r="J93" s="25"/>
      <c r="K93" s="57"/>
      <c r="L93" s="57"/>
      <c r="M93" s="57"/>
      <c r="N93" s="57"/>
      <c r="O93" s="57"/>
      <c r="P93" s="57"/>
    </row>
    <row r="94" spans="1:16">
      <c r="A94" s="1"/>
      <c r="B94" s="26"/>
      <c r="C94" s="25"/>
      <c r="D94" s="25"/>
      <c r="E94" s="25">
        <f t="shared" si="7"/>
        <v>0</v>
      </c>
      <c r="F94" s="25"/>
      <c r="G94" s="25"/>
      <c r="H94" s="25"/>
      <c r="I94" s="25"/>
      <c r="J94" s="25"/>
      <c r="K94" s="57"/>
      <c r="L94" s="57"/>
      <c r="M94" s="57"/>
      <c r="N94" s="57"/>
      <c r="O94" s="57"/>
      <c r="P94" s="57"/>
    </row>
    <row r="95" spans="1:16">
      <c r="A95" s="1"/>
      <c r="B95" s="26"/>
      <c r="C95" s="25"/>
      <c r="D95" s="25"/>
      <c r="E95" s="25">
        <f t="shared" si="7"/>
        <v>0</v>
      </c>
      <c r="F95" s="25"/>
      <c r="G95" s="25"/>
      <c r="H95" s="25"/>
      <c r="I95" s="25"/>
      <c r="J95" s="25"/>
      <c r="K95" s="57"/>
      <c r="L95" s="57"/>
      <c r="M95" s="57"/>
      <c r="N95" s="57"/>
      <c r="O95" s="57"/>
      <c r="P95" s="57"/>
    </row>
    <row r="96" spans="1:16">
      <c r="A96" s="1"/>
      <c r="B96" s="26"/>
      <c r="C96" s="25"/>
      <c r="D96" s="25"/>
      <c r="E96" s="25">
        <f t="shared" ref="E96:E159" si="8">B96*C96*D96</f>
        <v>0</v>
      </c>
      <c r="F96" s="25"/>
      <c r="G96" s="25"/>
      <c r="H96" s="25"/>
      <c r="I96" s="25"/>
      <c r="J96" s="25"/>
      <c r="K96" s="57"/>
      <c r="L96" s="57"/>
      <c r="M96" s="57"/>
      <c r="N96" s="57"/>
      <c r="O96" s="57"/>
      <c r="P96" s="57"/>
    </row>
    <row r="97" spans="1:16">
      <c r="A97" s="1"/>
      <c r="B97" s="26"/>
      <c r="C97" s="25"/>
      <c r="D97" s="25"/>
      <c r="E97" s="25">
        <f t="shared" si="8"/>
        <v>0</v>
      </c>
      <c r="F97" s="25"/>
      <c r="G97" s="25"/>
      <c r="H97" s="25"/>
      <c r="I97" s="25"/>
      <c r="J97" s="25"/>
      <c r="K97" s="57"/>
      <c r="L97" s="57"/>
      <c r="M97" s="57"/>
      <c r="N97" s="57"/>
      <c r="O97" s="57"/>
      <c r="P97" s="57"/>
    </row>
    <row r="98" spans="1:16">
      <c r="A98" s="1"/>
      <c r="B98" s="26"/>
      <c r="C98" s="25"/>
      <c r="D98" s="25"/>
      <c r="E98" s="25">
        <f t="shared" si="8"/>
        <v>0</v>
      </c>
      <c r="F98" s="25"/>
      <c r="G98" s="25"/>
      <c r="H98" s="25"/>
      <c r="I98" s="25"/>
      <c r="J98" s="25"/>
      <c r="K98" s="57"/>
      <c r="L98" s="57"/>
      <c r="M98" s="57"/>
      <c r="N98" s="57"/>
      <c r="O98" s="57"/>
      <c r="P98" s="57"/>
    </row>
    <row r="99" spans="1:16">
      <c r="A99" s="1"/>
      <c r="B99" s="26"/>
      <c r="C99" s="25"/>
      <c r="D99" s="25"/>
      <c r="E99" s="25">
        <f t="shared" si="8"/>
        <v>0</v>
      </c>
      <c r="F99" s="25"/>
      <c r="G99" s="25"/>
      <c r="H99" s="25"/>
      <c r="I99" s="25"/>
      <c r="J99" s="25"/>
      <c r="K99" s="57"/>
      <c r="L99" s="57"/>
      <c r="M99" s="57"/>
      <c r="N99" s="57"/>
      <c r="O99" s="57"/>
      <c r="P99" s="57"/>
    </row>
    <row r="100" spans="1:16">
      <c r="A100" s="1"/>
      <c r="B100" s="26"/>
      <c r="C100" s="25"/>
      <c r="D100" s="25"/>
      <c r="E100" s="25">
        <f t="shared" si="8"/>
        <v>0</v>
      </c>
      <c r="F100" s="25"/>
      <c r="G100" s="25"/>
      <c r="H100" s="25"/>
      <c r="I100" s="25"/>
      <c r="J100" s="25"/>
      <c r="K100" s="57"/>
      <c r="L100" s="57"/>
      <c r="M100" s="57"/>
      <c r="N100" s="57"/>
      <c r="O100" s="57"/>
      <c r="P100" s="57"/>
    </row>
    <row r="101" spans="1:16">
      <c r="A101" s="1"/>
      <c r="B101" s="26"/>
      <c r="C101" s="25"/>
      <c r="D101" s="25"/>
      <c r="E101" s="25">
        <f t="shared" si="8"/>
        <v>0</v>
      </c>
      <c r="F101" s="25"/>
      <c r="G101" s="25"/>
      <c r="H101" s="25"/>
      <c r="I101" s="25"/>
      <c r="J101" s="25"/>
      <c r="K101" s="57"/>
      <c r="L101" s="57"/>
      <c r="M101" s="57"/>
      <c r="N101" s="57"/>
      <c r="O101" s="57"/>
      <c r="P101" s="57"/>
    </row>
    <row r="102" spans="1:16">
      <c r="A102" s="1"/>
      <c r="B102" s="26"/>
      <c r="C102" s="25"/>
      <c r="D102" s="25"/>
      <c r="E102" s="25">
        <f t="shared" si="8"/>
        <v>0</v>
      </c>
      <c r="F102" s="25"/>
      <c r="G102" s="25"/>
      <c r="H102" s="25"/>
      <c r="I102" s="25"/>
      <c r="J102" s="25"/>
      <c r="K102" s="57"/>
      <c r="L102" s="57"/>
      <c r="M102" s="57"/>
      <c r="N102" s="57"/>
      <c r="O102" s="57"/>
      <c r="P102" s="57"/>
    </row>
    <row r="103" spans="1:16">
      <c r="A103" s="1"/>
      <c r="B103" s="26"/>
      <c r="C103" s="25"/>
      <c r="D103" s="25"/>
      <c r="E103" s="25">
        <f t="shared" si="8"/>
        <v>0</v>
      </c>
      <c r="F103" s="25"/>
      <c r="G103" s="25"/>
      <c r="H103" s="25"/>
      <c r="I103" s="25"/>
      <c r="J103" s="25"/>
      <c r="K103" s="57"/>
      <c r="L103" s="57"/>
      <c r="M103" s="57"/>
      <c r="N103" s="57"/>
      <c r="O103" s="57"/>
      <c r="P103" s="57"/>
    </row>
    <row r="104" spans="1:16">
      <c r="A104" s="1"/>
      <c r="B104" s="26"/>
      <c r="C104" s="25"/>
      <c r="D104" s="25"/>
      <c r="E104" s="25">
        <f t="shared" si="8"/>
        <v>0</v>
      </c>
      <c r="F104" s="25"/>
      <c r="G104" s="25"/>
      <c r="H104" s="25"/>
      <c r="I104" s="25"/>
      <c r="J104" s="25"/>
      <c r="K104" s="57"/>
      <c r="L104" s="57"/>
      <c r="M104" s="57"/>
      <c r="N104" s="57"/>
      <c r="O104" s="57"/>
      <c r="P104" s="57"/>
    </row>
    <row r="105" spans="1:16">
      <c r="A105" s="1"/>
      <c r="B105" s="26"/>
      <c r="C105" s="25"/>
      <c r="D105" s="25"/>
      <c r="E105" s="25">
        <f t="shared" si="8"/>
        <v>0</v>
      </c>
      <c r="F105" s="25"/>
      <c r="G105" s="25"/>
      <c r="H105" s="25"/>
      <c r="I105" s="25"/>
      <c r="J105" s="25"/>
      <c r="K105" s="57"/>
      <c r="L105" s="57"/>
      <c r="M105" s="57"/>
      <c r="N105" s="57"/>
      <c r="O105" s="57"/>
      <c r="P105" s="57"/>
    </row>
    <row r="106" spans="1:16">
      <c r="A106" s="1"/>
      <c r="B106" s="26"/>
      <c r="C106" s="25"/>
      <c r="D106" s="25"/>
      <c r="E106" s="25">
        <f t="shared" si="8"/>
        <v>0</v>
      </c>
      <c r="F106" s="25"/>
      <c r="G106" s="25"/>
      <c r="H106" s="25"/>
      <c r="I106" s="25"/>
      <c r="J106" s="25"/>
      <c r="K106" s="57"/>
      <c r="L106" s="57"/>
      <c r="M106" s="57"/>
      <c r="N106" s="57"/>
      <c r="O106" s="57"/>
      <c r="P106" s="57"/>
    </row>
    <row r="107" spans="1:16">
      <c r="A107" s="1"/>
      <c r="B107" s="26"/>
      <c r="C107" s="25"/>
      <c r="D107" s="25"/>
      <c r="E107" s="25">
        <f t="shared" si="8"/>
        <v>0</v>
      </c>
      <c r="F107" s="25"/>
      <c r="G107" s="25"/>
      <c r="H107" s="25"/>
      <c r="I107" s="25"/>
      <c r="J107" s="25"/>
      <c r="K107" s="57"/>
      <c r="L107" s="57"/>
      <c r="M107" s="57"/>
      <c r="N107" s="57"/>
      <c r="O107" s="57"/>
      <c r="P107" s="57"/>
    </row>
    <row r="108" spans="1:16">
      <c r="A108" s="1"/>
      <c r="B108" s="26"/>
      <c r="C108" s="25"/>
      <c r="D108" s="25"/>
      <c r="E108" s="25">
        <f t="shared" si="8"/>
        <v>0</v>
      </c>
      <c r="F108" s="25"/>
      <c r="G108" s="25"/>
      <c r="H108" s="25"/>
      <c r="I108" s="25"/>
      <c r="J108" s="25"/>
      <c r="K108" s="57"/>
      <c r="L108" s="57"/>
      <c r="M108" s="57"/>
      <c r="N108" s="57"/>
      <c r="O108" s="57"/>
      <c r="P108" s="57"/>
    </row>
    <row r="109" spans="1:16">
      <c r="A109" s="1"/>
      <c r="B109" s="26"/>
      <c r="C109" s="25"/>
      <c r="D109" s="25"/>
      <c r="E109" s="25">
        <f t="shared" si="8"/>
        <v>0</v>
      </c>
      <c r="F109" s="25"/>
      <c r="G109" s="25"/>
      <c r="H109" s="25"/>
      <c r="I109" s="25"/>
      <c r="J109" s="25"/>
      <c r="K109" s="57"/>
      <c r="L109" s="57"/>
      <c r="M109" s="57"/>
      <c r="N109" s="57"/>
      <c r="O109" s="57"/>
      <c r="P109" s="57"/>
    </row>
    <row r="110" spans="1:16">
      <c r="A110" s="1"/>
      <c r="B110" s="26"/>
      <c r="C110" s="25"/>
      <c r="D110" s="25"/>
      <c r="E110" s="25">
        <f t="shared" si="8"/>
        <v>0</v>
      </c>
      <c r="F110" s="25"/>
      <c r="G110" s="25"/>
      <c r="H110" s="25"/>
      <c r="I110" s="25"/>
      <c r="J110" s="25"/>
      <c r="K110" s="57"/>
      <c r="L110" s="57"/>
      <c r="M110" s="57"/>
      <c r="N110" s="57"/>
      <c r="O110" s="57"/>
      <c r="P110" s="57"/>
    </row>
    <row r="111" spans="1:16">
      <c r="A111" s="1"/>
      <c r="B111" s="26"/>
      <c r="C111" s="25"/>
      <c r="D111" s="25"/>
      <c r="E111" s="25">
        <f t="shared" si="8"/>
        <v>0</v>
      </c>
      <c r="F111" s="25"/>
      <c r="G111" s="25"/>
      <c r="H111" s="25"/>
      <c r="I111" s="25"/>
      <c r="J111" s="25"/>
      <c r="K111" s="57"/>
      <c r="L111" s="57"/>
      <c r="M111" s="57"/>
      <c r="N111" s="57"/>
      <c r="O111" s="57"/>
      <c r="P111" s="57"/>
    </row>
    <row r="112" spans="1:16">
      <c r="A112" s="1"/>
      <c r="B112" s="26"/>
      <c r="C112" s="25"/>
      <c r="D112" s="25"/>
      <c r="E112" s="25">
        <f t="shared" si="8"/>
        <v>0</v>
      </c>
      <c r="F112" s="25"/>
      <c r="G112" s="25"/>
      <c r="H112" s="25"/>
      <c r="I112" s="25"/>
      <c r="J112" s="25"/>
      <c r="K112" s="57"/>
      <c r="L112" s="57"/>
      <c r="M112" s="57"/>
      <c r="N112" s="57"/>
      <c r="O112" s="57"/>
      <c r="P112" s="57"/>
    </row>
    <row r="113" spans="1:16">
      <c r="A113" s="1"/>
      <c r="B113" s="26"/>
      <c r="C113" s="25"/>
      <c r="D113" s="25"/>
      <c r="E113" s="25">
        <f t="shared" si="8"/>
        <v>0</v>
      </c>
      <c r="F113" s="25"/>
      <c r="G113" s="25"/>
      <c r="H113" s="25"/>
      <c r="I113" s="25"/>
      <c r="J113" s="25"/>
      <c r="K113" s="57"/>
      <c r="L113" s="57"/>
      <c r="M113" s="57"/>
      <c r="N113" s="57"/>
      <c r="O113" s="57"/>
      <c r="P113" s="57"/>
    </row>
    <row r="114" spans="1:16">
      <c r="A114" s="1"/>
      <c r="B114" s="26"/>
      <c r="C114" s="25"/>
      <c r="D114" s="25"/>
      <c r="E114" s="25">
        <f t="shared" si="8"/>
        <v>0</v>
      </c>
      <c r="F114" s="25"/>
      <c r="G114" s="25"/>
      <c r="H114" s="25"/>
      <c r="I114" s="25"/>
      <c r="J114" s="25"/>
      <c r="K114" s="57"/>
      <c r="L114" s="57"/>
      <c r="M114" s="57"/>
      <c r="N114" s="57"/>
      <c r="O114" s="57"/>
      <c r="P114" s="57"/>
    </row>
    <row r="115" spans="1:16">
      <c r="A115" s="1"/>
      <c r="B115" s="26"/>
      <c r="C115" s="25"/>
      <c r="D115" s="25"/>
      <c r="E115" s="25">
        <f t="shared" si="8"/>
        <v>0</v>
      </c>
      <c r="F115" s="25"/>
      <c r="G115" s="25"/>
      <c r="H115" s="25"/>
      <c r="I115" s="25"/>
      <c r="J115" s="25"/>
      <c r="K115" s="57"/>
      <c r="L115" s="57"/>
      <c r="M115" s="57"/>
      <c r="N115" s="57"/>
      <c r="O115" s="57"/>
      <c r="P115" s="57"/>
    </row>
    <row r="116" spans="1:16">
      <c r="A116" s="1"/>
      <c r="B116" s="26"/>
      <c r="C116" s="25"/>
      <c r="D116" s="25"/>
      <c r="E116" s="25">
        <f t="shared" si="8"/>
        <v>0</v>
      </c>
      <c r="F116" s="25"/>
      <c r="G116" s="25"/>
      <c r="H116" s="25"/>
      <c r="I116" s="25"/>
      <c r="J116" s="25"/>
      <c r="K116" s="57"/>
      <c r="L116" s="57"/>
      <c r="M116" s="57"/>
      <c r="N116" s="57"/>
      <c r="O116" s="57"/>
      <c r="P116" s="57"/>
    </row>
    <row r="117" spans="1:16">
      <c r="A117" s="1"/>
      <c r="B117" s="26"/>
      <c r="C117" s="25"/>
      <c r="D117" s="25"/>
      <c r="E117" s="25">
        <f t="shared" si="8"/>
        <v>0</v>
      </c>
      <c r="F117" s="25"/>
      <c r="G117" s="25"/>
      <c r="H117" s="25"/>
      <c r="I117" s="25"/>
      <c r="J117" s="25"/>
      <c r="K117" s="57"/>
      <c r="L117" s="57"/>
      <c r="M117" s="57"/>
      <c r="N117" s="57"/>
      <c r="O117" s="57"/>
      <c r="P117" s="57"/>
    </row>
    <row r="118" spans="1:16">
      <c r="A118" s="1"/>
      <c r="B118" s="26"/>
      <c r="C118" s="25"/>
      <c r="D118" s="25"/>
      <c r="E118" s="25">
        <f t="shared" si="8"/>
        <v>0</v>
      </c>
      <c r="F118" s="25"/>
      <c r="G118" s="25"/>
      <c r="H118" s="25"/>
      <c r="I118" s="25"/>
      <c r="J118" s="25"/>
      <c r="K118" s="57"/>
      <c r="L118" s="57"/>
      <c r="M118" s="57"/>
      <c r="N118" s="57"/>
      <c r="O118" s="57"/>
      <c r="P118" s="57"/>
    </row>
    <row r="119" spans="1:16">
      <c r="A119" s="1"/>
      <c r="B119" s="26"/>
      <c r="C119" s="25"/>
      <c r="D119" s="25"/>
      <c r="E119" s="25">
        <f t="shared" si="8"/>
        <v>0</v>
      </c>
      <c r="F119" s="25"/>
      <c r="G119" s="25"/>
      <c r="H119" s="25"/>
      <c r="I119" s="25"/>
      <c r="J119" s="25"/>
      <c r="K119" s="57"/>
      <c r="L119" s="57"/>
      <c r="M119" s="57"/>
      <c r="N119" s="57"/>
      <c r="O119" s="57"/>
      <c r="P119" s="57"/>
    </row>
    <row r="120" spans="1:16">
      <c r="A120" s="1"/>
      <c r="B120" s="26"/>
      <c r="C120" s="25"/>
      <c r="D120" s="25"/>
      <c r="E120" s="25">
        <f t="shared" si="8"/>
        <v>0</v>
      </c>
      <c r="F120" s="25"/>
      <c r="G120" s="25"/>
      <c r="H120" s="25"/>
      <c r="I120" s="25"/>
      <c r="J120" s="25"/>
      <c r="K120" s="57"/>
      <c r="L120" s="57"/>
      <c r="M120" s="57"/>
      <c r="N120" s="57"/>
      <c r="O120" s="57"/>
      <c r="P120" s="57"/>
    </row>
    <row r="121" spans="1:16">
      <c r="A121" s="1"/>
      <c r="B121" s="26"/>
      <c r="C121" s="25"/>
      <c r="D121" s="25"/>
      <c r="E121" s="25">
        <f t="shared" si="8"/>
        <v>0</v>
      </c>
      <c r="F121" s="25"/>
      <c r="G121" s="25"/>
      <c r="H121" s="25"/>
      <c r="I121" s="25"/>
      <c r="J121" s="25"/>
      <c r="K121" s="57"/>
      <c r="L121" s="57"/>
      <c r="M121" s="57"/>
      <c r="N121" s="57"/>
      <c r="O121" s="57"/>
      <c r="P121" s="57"/>
    </row>
    <row r="122" spans="1:16">
      <c r="A122" s="1"/>
      <c r="B122" s="26"/>
      <c r="C122" s="25"/>
      <c r="D122" s="25"/>
      <c r="E122" s="25">
        <f t="shared" si="8"/>
        <v>0</v>
      </c>
      <c r="F122" s="25"/>
      <c r="G122" s="25"/>
      <c r="H122" s="25"/>
      <c r="I122" s="25"/>
      <c r="J122" s="25"/>
      <c r="K122" s="57"/>
      <c r="L122" s="57"/>
      <c r="M122" s="57"/>
      <c r="N122" s="57"/>
      <c r="O122" s="57"/>
      <c r="P122" s="57"/>
    </row>
    <row r="123" spans="1:16">
      <c r="A123" s="1"/>
      <c r="B123" s="26"/>
      <c r="C123" s="25"/>
      <c r="D123" s="25"/>
      <c r="E123" s="25">
        <f t="shared" si="8"/>
        <v>0</v>
      </c>
      <c r="F123" s="25"/>
      <c r="G123" s="25"/>
      <c r="H123" s="25"/>
      <c r="I123" s="25"/>
      <c r="J123" s="25"/>
      <c r="K123" s="57"/>
      <c r="L123" s="57"/>
      <c r="M123" s="57"/>
      <c r="N123" s="57"/>
      <c r="O123" s="57"/>
      <c r="P123" s="57"/>
    </row>
    <row r="124" spans="1:16">
      <c r="A124" s="1"/>
      <c r="B124" s="26"/>
      <c r="C124" s="25"/>
      <c r="D124" s="25"/>
      <c r="E124" s="25">
        <f t="shared" si="8"/>
        <v>0</v>
      </c>
      <c r="F124" s="25"/>
      <c r="G124" s="25"/>
      <c r="H124" s="25"/>
      <c r="I124" s="25"/>
      <c r="J124" s="25"/>
      <c r="K124" s="57"/>
      <c r="L124" s="57"/>
      <c r="M124" s="57"/>
      <c r="N124" s="57"/>
      <c r="O124" s="57"/>
      <c r="P124" s="57"/>
    </row>
    <row r="125" spans="1:16">
      <c r="A125" s="1"/>
      <c r="B125" s="26"/>
      <c r="C125" s="25"/>
      <c r="D125" s="25"/>
      <c r="E125" s="25">
        <f t="shared" si="8"/>
        <v>0</v>
      </c>
      <c r="F125" s="25"/>
      <c r="G125" s="25"/>
      <c r="H125" s="25"/>
      <c r="I125" s="25"/>
      <c r="J125" s="25"/>
      <c r="K125" s="57"/>
      <c r="L125" s="57"/>
      <c r="M125" s="57"/>
      <c r="N125" s="57"/>
      <c r="O125" s="57"/>
      <c r="P125" s="57"/>
    </row>
    <row r="126" spans="1:16">
      <c r="A126" s="1"/>
      <c r="B126" s="26"/>
      <c r="C126" s="25"/>
      <c r="D126" s="25"/>
      <c r="E126" s="25">
        <f t="shared" si="8"/>
        <v>0</v>
      </c>
      <c r="F126" s="25"/>
      <c r="G126" s="25"/>
      <c r="H126" s="25"/>
      <c r="I126" s="25"/>
      <c r="J126" s="25"/>
      <c r="K126" s="57"/>
      <c r="L126" s="57"/>
      <c r="M126" s="57"/>
      <c r="N126" s="57"/>
      <c r="O126" s="57"/>
      <c r="P126" s="57"/>
    </row>
    <row r="127" spans="1:16">
      <c r="A127" s="1"/>
      <c r="B127" s="26"/>
      <c r="C127" s="25"/>
      <c r="D127" s="25"/>
      <c r="E127" s="25">
        <f t="shared" si="8"/>
        <v>0</v>
      </c>
      <c r="F127" s="25"/>
      <c r="G127" s="25"/>
      <c r="H127" s="25"/>
      <c r="I127" s="25"/>
      <c r="J127" s="25"/>
      <c r="K127" s="57"/>
      <c r="L127" s="57"/>
      <c r="M127" s="57"/>
      <c r="N127" s="57"/>
      <c r="O127" s="57"/>
      <c r="P127" s="57"/>
    </row>
    <row r="128" spans="1:16">
      <c r="A128" s="1"/>
      <c r="B128" s="26"/>
      <c r="C128" s="25"/>
      <c r="D128" s="25"/>
      <c r="E128" s="25">
        <f t="shared" si="8"/>
        <v>0</v>
      </c>
      <c r="F128" s="25"/>
      <c r="G128" s="25"/>
      <c r="H128" s="25"/>
      <c r="I128" s="25"/>
      <c r="J128" s="25"/>
      <c r="K128" s="57"/>
      <c r="L128" s="57"/>
      <c r="M128" s="57"/>
      <c r="N128" s="57"/>
      <c r="O128" s="57"/>
      <c r="P128" s="57"/>
    </row>
    <row r="129" spans="1:16">
      <c r="A129" s="1"/>
      <c r="B129" s="26"/>
      <c r="C129" s="25"/>
      <c r="D129" s="25"/>
      <c r="E129" s="25">
        <f t="shared" si="8"/>
        <v>0</v>
      </c>
      <c r="F129" s="25"/>
      <c r="G129" s="25"/>
      <c r="H129" s="25"/>
      <c r="I129" s="25"/>
      <c r="J129" s="25"/>
      <c r="K129" s="57"/>
      <c r="L129" s="57"/>
      <c r="M129" s="57"/>
      <c r="N129" s="57"/>
      <c r="O129" s="57"/>
      <c r="P129" s="57"/>
    </row>
    <row r="130" spans="1:16">
      <c r="A130" s="1"/>
      <c r="B130" s="26"/>
      <c r="C130" s="25"/>
      <c r="D130" s="25"/>
      <c r="E130" s="25">
        <f t="shared" si="8"/>
        <v>0</v>
      </c>
      <c r="F130" s="25"/>
      <c r="G130" s="25"/>
      <c r="H130" s="25"/>
      <c r="I130" s="25"/>
      <c r="J130" s="25"/>
      <c r="K130" s="57"/>
      <c r="L130" s="57"/>
      <c r="M130" s="57"/>
      <c r="N130" s="57"/>
      <c r="O130" s="57"/>
      <c r="P130" s="57"/>
    </row>
    <row r="131" spans="1:16">
      <c r="A131" s="1"/>
      <c r="B131" s="26"/>
      <c r="C131" s="25"/>
      <c r="D131" s="25"/>
      <c r="E131" s="25">
        <f t="shared" si="8"/>
        <v>0</v>
      </c>
      <c r="F131" s="25"/>
      <c r="G131" s="25"/>
      <c r="H131" s="25"/>
      <c r="I131" s="25"/>
      <c r="J131" s="25"/>
      <c r="K131" s="57"/>
      <c r="L131" s="57"/>
      <c r="M131" s="57"/>
      <c r="N131" s="57"/>
      <c r="O131" s="57"/>
      <c r="P131" s="57"/>
    </row>
    <row r="132" spans="1:16">
      <c r="A132" s="1"/>
      <c r="B132" s="26"/>
      <c r="C132" s="25"/>
      <c r="D132" s="25"/>
      <c r="E132" s="25">
        <f t="shared" si="8"/>
        <v>0</v>
      </c>
      <c r="F132" s="25"/>
      <c r="G132" s="25"/>
      <c r="H132" s="25"/>
      <c r="I132" s="25"/>
      <c r="J132" s="25"/>
      <c r="K132" s="57"/>
      <c r="L132" s="57"/>
      <c r="M132" s="57"/>
      <c r="N132" s="57"/>
      <c r="O132" s="57"/>
      <c r="P132" s="57"/>
    </row>
    <row r="133" spans="1:16">
      <c r="A133" s="1"/>
      <c r="B133" s="26"/>
      <c r="C133" s="25"/>
      <c r="D133" s="25"/>
      <c r="E133" s="25">
        <f t="shared" si="8"/>
        <v>0</v>
      </c>
      <c r="F133" s="25"/>
      <c r="G133" s="25"/>
      <c r="H133" s="25"/>
      <c r="I133" s="25"/>
      <c r="J133" s="25"/>
      <c r="K133" s="57"/>
      <c r="L133" s="57"/>
      <c r="M133" s="57"/>
      <c r="N133" s="57"/>
      <c r="O133" s="57"/>
      <c r="P133" s="57"/>
    </row>
    <row r="134" spans="1:16">
      <c r="A134" s="1"/>
      <c r="B134" s="26"/>
      <c r="C134" s="25"/>
      <c r="D134" s="25"/>
      <c r="E134" s="25">
        <f t="shared" si="8"/>
        <v>0</v>
      </c>
      <c r="F134" s="25"/>
      <c r="G134" s="25"/>
      <c r="H134" s="25"/>
      <c r="I134" s="25"/>
      <c r="J134" s="25"/>
      <c r="K134" s="57"/>
      <c r="L134" s="57"/>
      <c r="M134" s="57"/>
      <c r="N134" s="57"/>
      <c r="O134" s="57"/>
      <c r="P134" s="57"/>
    </row>
    <row r="135" spans="1:16">
      <c r="A135" s="1"/>
      <c r="B135" s="26"/>
      <c r="C135" s="25"/>
      <c r="D135" s="25"/>
      <c r="E135" s="25">
        <f t="shared" si="8"/>
        <v>0</v>
      </c>
      <c r="F135" s="25"/>
      <c r="G135" s="25"/>
      <c r="H135" s="25"/>
      <c r="I135" s="25"/>
      <c r="J135" s="25"/>
      <c r="K135" s="57"/>
      <c r="L135" s="57"/>
      <c r="M135" s="57"/>
      <c r="N135" s="57"/>
      <c r="O135" s="57"/>
      <c r="P135" s="57"/>
    </row>
    <row r="136" spans="1:16">
      <c r="A136" s="1"/>
      <c r="B136" s="26"/>
      <c r="C136" s="25"/>
      <c r="D136" s="25"/>
      <c r="E136" s="25">
        <f t="shared" si="8"/>
        <v>0</v>
      </c>
      <c r="F136" s="25"/>
      <c r="G136" s="25"/>
      <c r="H136" s="25"/>
      <c r="I136" s="25"/>
      <c r="J136" s="25"/>
      <c r="K136" s="57"/>
      <c r="L136" s="57"/>
      <c r="M136" s="57"/>
      <c r="N136" s="57"/>
      <c r="O136" s="57"/>
      <c r="P136" s="57"/>
    </row>
    <row r="137" spans="1:16">
      <c r="A137" s="1"/>
      <c r="B137" s="26"/>
      <c r="C137" s="25"/>
      <c r="D137" s="25"/>
      <c r="E137" s="25">
        <f t="shared" si="8"/>
        <v>0</v>
      </c>
      <c r="F137" s="25"/>
      <c r="G137" s="25"/>
      <c r="H137" s="25"/>
      <c r="I137" s="25"/>
      <c r="J137" s="25"/>
      <c r="K137" s="57"/>
      <c r="L137" s="57"/>
      <c r="M137" s="57"/>
      <c r="N137" s="57"/>
      <c r="O137" s="57"/>
      <c r="P137" s="57"/>
    </row>
    <row r="138" spans="1:16">
      <c r="A138" s="1"/>
      <c r="B138" s="26"/>
      <c r="C138" s="25"/>
      <c r="D138" s="25"/>
      <c r="E138" s="25">
        <f t="shared" si="8"/>
        <v>0</v>
      </c>
      <c r="F138" s="25"/>
      <c r="G138" s="25"/>
      <c r="H138" s="25"/>
      <c r="I138" s="25"/>
      <c r="J138" s="25"/>
      <c r="K138" s="57"/>
      <c r="L138" s="57"/>
      <c r="M138" s="57"/>
      <c r="N138" s="57"/>
      <c r="O138" s="57"/>
      <c r="P138" s="57"/>
    </row>
    <row r="139" spans="1:16">
      <c r="A139" s="1"/>
      <c r="B139" s="26"/>
      <c r="C139" s="25"/>
      <c r="D139" s="25"/>
      <c r="E139" s="25">
        <f t="shared" si="8"/>
        <v>0</v>
      </c>
      <c r="F139" s="25"/>
      <c r="G139" s="25"/>
      <c r="H139" s="25"/>
      <c r="I139" s="25"/>
      <c r="J139" s="25"/>
      <c r="K139" s="57"/>
      <c r="L139" s="57"/>
      <c r="M139" s="57"/>
      <c r="N139" s="57"/>
      <c r="O139" s="57"/>
      <c r="P139" s="57"/>
    </row>
    <row r="140" spans="1:16">
      <c r="A140" s="1"/>
      <c r="B140" s="26"/>
      <c r="C140" s="25"/>
      <c r="D140" s="25"/>
      <c r="E140" s="25">
        <f t="shared" si="8"/>
        <v>0</v>
      </c>
      <c r="F140" s="25"/>
      <c r="G140" s="25"/>
      <c r="H140" s="25"/>
      <c r="I140" s="25"/>
      <c r="J140" s="25"/>
      <c r="K140" s="57"/>
      <c r="L140" s="57"/>
      <c r="M140" s="57"/>
      <c r="N140" s="57"/>
      <c r="O140" s="57"/>
      <c r="P140" s="57"/>
    </row>
    <row r="141" spans="1:16">
      <c r="A141" s="1"/>
      <c r="B141" s="26"/>
      <c r="C141" s="25"/>
      <c r="D141" s="25"/>
      <c r="E141" s="25">
        <f t="shared" si="8"/>
        <v>0</v>
      </c>
      <c r="F141" s="25"/>
      <c r="G141" s="25"/>
      <c r="H141" s="25"/>
      <c r="I141" s="25"/>
      <c r="J141" s="25"/>
      <c r="K141" s="57"/>
      <c r="L141" s="57"/>
      <c r="M141" s="57"/>
      <c r="N141" s="57"/>
      <c r="O141" s="57"/>
      <c r="P141" s="57"/>
    </row>
    <row r="142" spans="1:16">
      <c r="A142" s="1"/>
      <c r="B142" s="26"/>
      <c r="C142" s="25"/>
      <c r="D142" s="25"/>
      <c r="E142" s="25">
        <f t="shared" si="8"/>
        <v>0</v>
      </c>
      <c r="F142" s="25"/>
      <c r="G142" s="25"/>
      <c r="H142" s="25"/>
      <c r="I142" s="25"/>
      <c r="J142" s="25"/>
      <c r="K142" s="57"/>
      <c r="L142" s="57"/>
      <c r="M142" s="57"/>
      <c r="N142" s="57"/>
      <c r="O142" s="57"/>
      <c r="P142" s="57"/>
    </row>
    <row r="143" spans="1:16">
      <c r="A143" s="1"/>
      <c r="B143" s="26"/>
      <c r="C143" s="25"/>
      <c r="D143" s="25"/>
      <c r="E143" s="25">
        <f t="shared" si="8"/>
        <v>0</v>
      </c>
      <c r="F143" s="25"/>
      <c r="G143" s="25"/>
      <c r="H143" s="25"/>
      <c r="I143" s="25"/>
      <c r="J143" s="25"/>
      <c r="K143" s="57"/>
      <c r="L143" s="57"/>
      <c r="M143" s="57"/>
      <c r="N143" s="57"/>
      <c r="O143" s="57"/>
      <c r="P143" s="57"/>
    </row>
    <row r="144" spans="1:16">
      <c r="A144" s="1"/>
      <c r="B144" s="26"/>
      <c r="C144" s="25"/>
      <c r="D144" s="25"/>
      <c r="E144" s="25">
        <f t="shared" si="8"/>
        <v>0</v>
      </c>
      <c r="F144" s="25"/>
      <c r="G144" s="25"/>
      <c r="H144" s="25"/>
      <c r="I144" s="25"/>
      <c r="J144" s="25"/>
      <c r="K144" s="57"/>
      <c r="L144" s="57"/>
      <c r="M144" s="57"/>
      <c r="N144" s="57"/>
      <c r="O144" s="57"/>
      <c r="P144" s="57"/>
    </row>
    <row r="145" spans="1:16">
      <c r="A145" s="1"/>
      <c r="B145" s="26"/>
      <c r="C145" s="25"/>
      <c r="D145" s="25"/>
      <c r="E145" s="25">
        <f t="shared" si="8"/>
        <v>0</v>
      </c>
      <c r="F145" s="25"/>
      <c r="G145" s="25"/>
      <c r="H145" s="25"/>
      <c r="I145" s="25"/>
      <c r="J145" s="25"/>
      <c r="K145" s="57"/>
      <c r="L145" s="57"/>
      <c r="M145" s="57"/>
      <c r="N145" s="57"/>
      <c r="O145" s="57"/>
      <c r="P145" s="57"/>
    </row>
    <row r="146" spans="1:16">
      <c r="A146" s="1"/>
      <c r="B146" s="26"/>
      <c r="C146" s="25"/>
      <c r="D146" s="25"/>
      <c r="E146" s="25">
        <f t="shared" si="8"/>
        <v>0</v>
      </c>
      <c r="F146" s="25"/>
      <c r="G146" s="25"/>
      <c r="H146" s="25"/>
      <c r="I146" s="25"/>
      <c r="J146" s="25"/>
      <c r="K146" s="57"/>
      <c r="L146" s="57"/>
      <c r="M146" s="57"/>
      <c r="N146" s="57"/>
      <c r="O146" s="57"/>
      <c r="P146" s="57"/>
    </row>
    <row r="147" spans="1:16">
      <c r="A147" s="1"/>
      <c r="B147" s="26"/>
      <c r="C147" s="25"/>
      <c r="D147" s="25"/>
      <c r="E147" s="25">
        <f t="shared" si="8"/>
        <v>0</v>
      </c>
      <c r="F147" s="25"/>
      <c r="G147" s="25"/>
      <c r="H147" s="25"/>
      <c r="I147" s="25"/>
      <c r="J147" s="25"/>
      <c r="K147" s="57"/>
      <c r="L147" s="57"/>
      <c r="M147" s="57"/>
      <c r="N147" s="57"/>
      <c r="O147" s="57"/>
      <c r="P147" s="57"/>
    </row>
    <row r="148" spans="1:16">
      <c r="A148" s="1"/>
      <c r="B148" s="26"/>
      <c r="C148" s="25"/>
      <c r="D148" s="25"/>
      <c r="E148" s="25">
        <f t="shared" si="8"/>
        <v>0</v>
      </c>
      <c r="F148" s="25"/>
      <c r="G148" s="25"/>
      <c r="H148" s="25"/>
      <c r="I148" s="25"/>
      <c r="J148" s="25"/>
      <c r="K148" s="57"/>
      <c r="L148" s="57"/>
      <c r="M148" s="57"/>
      <c r="N148" s="57"/>
      <c r="O148" s="57"/>
      <c r="P148" s="57"/>
    </row>
    <row r="149" spans="1:16">
      <c r="A149" s="1"/>
      <c r="B149" s="26"/>
      <c r="C149" s="25"/>
      <c r="D149" s="25"/>
      <c r="E149" s="25">
        <f t="shared" si="8"/>
        <v>0</v>
      </c>
      <c r="F149" s="25"/>
      <c r="G149" s="25"/>
      <c r="H149" s="25"/>
      <c r="I149" s="25"/>
      <c r="J149" s="25"/>
      <c r="K149" s="57"/>
      <c r="L149" s="57"/>
      <c r="M149" s="57"/>
      <c r="N149" s="57"/>
      <c r="O149" s="57"/>
      <c r="P149" s="57"/>
    </row>
    <row r="150" spans="1:16">
      <c r="A150" s="1"/>
      <c r="B150" s="26"/>
      <c r="C150" s="25"/>
      <c r="D150" s="25"/>
      <c r="E150" s="25">
        <f t="shared" si="8"/>
        <v>0</v>
      </c>
      <c r="F150" s="25"/>
      <c r="G150" s="25"/>
      <c r="H150" s="25"/>
      <c r="I150" s="25"/>
      <c r="J150" s="25"/>
      <c r="K150" s="57"/>
      <c r="L150" s="57"/>
      <c r="M150" s="57"/>
      <c r="N150" s="57"/>
      <c r="O150" s="57"/>
      <c r="P150" s="57"/>
    </row>
    <row r="151" spans="1:16">
      <c r="A151" s="1"/>
      <c r="B151" s="26"/>
      <c r="C151" s="25"/>
      <c r="D151" s="25"/>
      <c r="E151" s="25">
        <f t="shared" si="8"/>
        <v>0</v>
      </c>
      <c r="F151" s="25"/>
      <c r="G151" s="25"/>
      <c r="H151" s="25"/>
      <c r="I151" s="25"/>
      <c r="J151" s="25"/>
      <c r="K151" s="57"/>
      <c r="L151" s="57"/>
      <c r="M151" s="57"/>
      <c r="N151" s="57"/>
      <c r="O151" s="57"/>
      <c r="P151" s="57"/>
    </row>
    <row r="152" spans="1:16">
      <c r="A152" s="1"/>
      <c r="B152" s="26"/>
      <c r="C152" s="25"/>
      <c r="D152" s="25"/>
      <c r="E152" s="25">
        <f t="shared" si="8"/>
        <v>0</v>
      </c>
      <c r="F152" s="25"/>
      <c r="G152" s="25"/>
      <c r="H152" s="25"/>
      <c r="I152" s="25"/>
      <c r="J152" s="25"/>
      <c r="K152" s="57"/>
      <c r="L152" s="57"/>
      <c r="M152" s="57"/>
      <c r="N152" s="57"/>
      <c r="O152" s="57"/>
      <c r="P152" s="57"/>
    </row>
    <row r="153" spans="1:16">
      <c r="A153" s="1"/>
      <c r="B153" s="26"/>
      <c r="C153" s="25"/>
      <c r="D153" s="25"/>
      <c r="E153" s="25">
        <f t="shared" si="8"/>
        <v>0</v>
      </c>
      <c r="F153" s="25"/>
      <c r="G153" s="25"/>
      <c r="H153" s="25"/>
      <c r="I153" s="25"/>
      <c r="J153" s="25"/>
      <c r="K153" s="57"/>
      <c r="L153" s="57"/>
      <c r="M153" s="57"/>
      <c r="N153" s="57"/>
      <c r="O153" s="57"/>
      <c r="P153" s="57"/>
    </row>
    <row r="154" spans="1:16">
      <c r="A154" s="1"/>
      <c r="B154" s="26"/>
      <c r="C154" s="25"/>
      <c r="D154" s="25"/>
      <c r="E154" s="25">
        <f t="shared" si="8"/>
        <v>0</v>
      </c>
      <c r="F154" s="25"/>
      <c r="G154" s="25"/>
      <c r="H154" s="25"/>
      <c r="I154" s="25"/>
      <c r="J154" s="25"/>
      <c r="K154" s="57"/>
      <c r="L154" s="57"/>
      <c r="M154" s="57"/>
      <c r="N154" s="57"/>
      <c r="O154" s="57"/>
      <c r="P154" s="57"/>
    </row>
    <row r="155" spans="1:16">
      <c r="A155" s="1"/>
      <c r="B155" s="26"/>
      <c r="C155" s="25"/>
      <c r="D155" s="25"/>
      <c r="E155" s="25">
        <f t="shared" si="8"/>
        <v>0</v>
      </c>
      <c r="F155" s="25"/>
      <c r="G155" s="25"/>
      <c r="H155" s="25"/>
      <c r="I155" s="25"/>
      <c r="J155" s="25"/>
      <c r="K155" s="57"/>
      <c r="L155" s="57"/>
      <c r="M155" s="57"/>
      <c r="N155" s="57"/>
      <c r="O155" s="57"/>
      <c r="P155" s="57"/>
    </row>
    <row r="156" spans="1:16">
      <c r="A156" s="1"/>
      <c r="B156" s="26"/>
      <c r="C156" s="25"/>
      <c r="D156" s="25"/>
      <c r="E156" s="25">
        <f t="shared" si="8"/>
        <v>0</v>
      </c>
      <c r="F156" s="25"/>
      <c r="G156" s="25"/>
      <c r="H156" s="25"/>
      <c r="I156" s="25"/>
      <c r="J156" s="25"/>
      <c r="K156" s="57"/>
      <c r="L156" s="57"/>
      <c r="M156" s="57"/>
      <c r="N156" s="57"/>
      <c r="O156" s="57"/>
      <c r="P156" s="57"/>
    </row>
    <row r="157" spans="1:16">
      <c r="A157" s="1"/>
      <c r="B157" s="26"/>
      <c r="C157" s="25"/>
      <c r="D157" s="25"/>
      <c r="E157" s="25">
        <f t="shared" si="8"/>
        <v>0</v>
      </c>
      <c r="F157" s="25"/>
      <c r="G157" s="25"/>
      <c r="H157" s="25"/>
      <c r="I157" s="25"/>
      <c r="J157" s="25"/>
      <c r="K157" s="57"/>
      <c r="L157" s="57"/>
      <c r="M157" s="57"/>
      <c r="N157" s="57"/>
      <c r="O157" s="57"/>
      <c r="P157" s="57"/>
    </row>
    <row r="158" spans="1:16">
      <c r="A158" s="1"/>
      <c r="B158" s="26"/>
      <c r="C158" s="25"/>
      <c r="D158" s="25"/>
      <c r="E158" s="25">
        <f t="shared" si="8"/>
        <v>0</v>
      </c>
      <c r="F158" s="25"/>
      <c r="G158" s="25"/>
      <c r="H158" s="25"/>
      <c r="I158" s="25"/>
      <c r="J158" s="25"/>
      <c r="K158" s="57"/>
      <c r="L158" s="57"/>
      <c r="M158" s="57"/>
      <c r="N158" s="57"/>
      <c r="O158" s="57"/>
      <c r="P158" s="57"/>
    </row>
    <row r="159" spans="1:16">
      <c r="A159" s="1"/>
      <c r="B159" s="26"/>
      <c r="C159" s="25"/>
      <c r="D159" s="25"/>
      <c r="E159" s="25">
        <f t="shared" si="8"/>
        <v>0</v>
      </c>
      <c r="F159" s="25"/>
      <c r="G159" s="25"/>
      <c r="H159" s="25"/>
      <c r="I159" s="25"/>
      <c r="J159" s="25"/>
      <c r="K159" s="57"/>
      <c r="L159" s="57"/>
      <c r="M159" s="57"/>
      <c r="N159" s="57"/>
      <c r="O159" s="57"/>
      <c r="P159" s="57"/>
    </row>
    <row r="160" spans="1:16">
      <c r="A160" s="1"/>
      <c r="B160" s="26"/>
      <c r="C160" s="25"/>
      <c r="D160" s="25"/>
      <c r="E160" s="25">
        <f t="shared" ref="E160:E180" si="9">B160*C160*D160</f>
        <v>0</v>
      </c>
      <c r="F160" s="25"/>
      <c r="G160" s="25"/>
      <c r="H160" s="25"/>
      <c r="I160" s="25"/>
      <c r="J160" s="25"/>
      <c r="K160" s="57"/>
      <c r="L160" s="57"/>
      <c r="M160" s="57"/>
      <c r="N160" s="57"/>
      <c r="O160" s="57"/>
      <c r="P160" s="57"/>
    </row>
    <row r="161" spans="1:16">
      <c r="A161" s="1"/>
      <c r="B161" s="26"/>
      <c r="C161" s="25"/>
      <c r="D161" s="25"/>
      <c r="E161" s="25">
        <f t="shared" si="9"/>
        <v>0</v>
      </c>
      <c r="F161" s="25"/>
      <c r="G161" s="25"/>
      <c r="H161" s="25"/>
      <c r="I161" s="25"/>
      <c r="J161" s="25"/>
      <c r="K161" s="57"/>
      <c r="L161" s="57"/>
      <c r="M161" s="57"/>
      <c r="N161" s="57"/>
      <c r="O161" s="57"/>
      <c r="P161" s="57"/>
    </row>
    <row r="162" spans="1:16">
      <c r="A162" s="1"/>
      <c r="B162" s="26"/>
      <c r="C162" s="25"/>
      <c r="D162" s="25"/>
      <c r="E162" s="25">
        <f t="shared" si="9"/>
        <v>0</v>
      </c>
      <c r="F162" s="25"/>
      <c r="G162" s="25"/>
      <c r="H162" s="25"/>
      <c r="I162" s="25"/>
      <c r="J162" s="25"/>
      <c r="K162" s="57"/>
      <c r="L162" s="57"/>
      <c r="M162" s="57"/>
      <c r="N162" s="57"/>
      <c r="O162" s="57"/>
      <c r="P162" s="57"/>
    </row>
    <row r="163" spans="1:16">
      <c r="A163" s="1"/>
      <c r="B163" s="26"/>
      <c r="C163" s="25"/>
      <c r="D163" s="25"/>
      <c r="E163" s="25">
        <f t="shared" si="9"/>
        <v>0</v>
      </c>
      <c r="F163" s="25"/>
      <c r="G163" s="25"/>
      <c r="H163" s="25"/>
      <c r="I163" s="25"/>
      <c r="J163" s="25"/>
      <c r="K163" s="57"/>
      <c r="L163" s="57"/>
      <c r="M163" s="57"/>
      <c r="N163" s="57"/>
      <c r="O163" s="57"/>
      <c r="P163" s="57"/>
    </row>
    <row r="164" spans="1:16">
      <c r="A164" s="1"/>
      <c r="B164" s="26"/>
      <c r="C164" s="25"/>
      <c r="D164" s="25"/>
      <c r="E164" s="25">
        <f t="shared" si="9"/>
        <v>0</v>
      </c>
      <c r="F164" s="25"/>
      <c r="G164" s="25"/>
      <c r="H164" s="25"/>
      <c r="I164" s="25"/>
      <c r="J164" s="25"/>
      <c r="K164" s="57"/>
      <c r="L164" s="57"/>
      <c r="M164" s="57"/>
      <c r="N164" s="57"/>
      <c r="O164" s="57"/>
      <c r="P164" s="57"/>
    </row>
    <row r="165" spans="1:16">
      <c r="A165" s="1"/>
      <c r="B165" s="26"/>
      <c r="C165" s="25"/>
      <c r="D165" s="25"/>
      <c r="E165" s="25">
        <f t="shared" si="9"/>
        <v>0</v>
      </c>
      <c r="F165" s="25"/>
      <c r="G165" s="25"/>
      <c r="H165" s="25"/>
      <c r="I165" s="25"/>
      <c r="J165" s="25"/>
      <c r="K165" s="57"/>
      <c r="L165" s="57"/>
      <c r="M165" s="57"/>
      <c r="N165" s="57"/>
      <c r="O165" s="57"/>
      <c r="P165" s="57"/>
    </row>
    <row r="166" spans="1:16">
      <c r="A166" s="1"/>
      <c r="B166" s="26"/>
      <c r="C166" s="25"/>
      <c r="D166" s="25"/>
      <c r="E166" s="25">
        <f t="shared" si="9"/>
        <v>0</v>
      </c>
      <c r="F166" s="25"/>
      <c r="G166" s="25"/>
      <c r="H166" s="25"/>
      <c r="I166" s="25"/>
      <c r="J166" s="25"/>
      <c r="K166" s="57"/>
      <c r="L166" s="57"/>
      <c r="M166" s="57"/>
      <c r="N166" s="57"/>
      <c r="O166" s="57"/>
      <c r="P166" s="57"/>
    </row>
    <row r="167" spans="1:16">
      <c r="A167" s="1"/>
      <c r="B167" s="26"/>
      <c r="C167" s="25"/>
      <c r="D167" s="25"/>
      <c r="E167" s="25">
        <f t="shared" si="9"/>
        <v>0</v>
      </c>
      <c r="F167" s="25"/>
      <c r="G167" s="25"/>
      <c r="H167" s="25"/>
      <c r="I167" s="25"/>
      <c r="J167" s="25"/>
      <c r="K167" s="57"/>
      <c r="L167" s="57"/>
      <c r="M167" s="57"/>
      <c r="N167" s="57"/>
      <c r="O167" s="57"/>
      <c r="P167" s="57"/>
    </row>
    <row r="168" spans="1:16">
      <c r="A168" s="1"/>
      <c r="B168" s="26"/>
      <c r="C168" s="25"/>
      <c r="D168" s="25"/>
      <c r="E168" s="25">
        <f t="shared" si="9"/>
        <v>0</v>
      </c>
      <c r="F168" s="25"/>
      <c r="G168" s="25"/>
      <c r="H168" s="25"/>
      <c r="I168" s="25"/>
      <c r="J168" s="25"/>
      <c r="K168" s="57"/>
      <c r="L168" s="57"/>
      <c r="M168" s="57"/>
      <c r="N168" s="57"/>
      <c r="O168" s="57"/>
      <c r="P168" s="57"/>
    </row>
    <row r="169" spans="1:16">
      <c r="A169" s="1"/>
      <c r="B169" s="26"/>
      <c r="C169" s="25"/>
      <c r="D169" s="25"/>
      <c r="E169" s="25">
        <f t="shared" si="9"/>
        <v>0</v>
      </c>
      <c r="F169" s="25"/>
      <c r="G169" s="25"/>
      <c r="H169" s="25"/>
      <c r="I169" s="25"/>
      <c r="J169" s="25"/>
      <c r="K169" s="57"/>
      <c r="L169" s="57"/>
      <c r="M169" s="57"/>
      <c r="N169" s="57"/>
      <c r="O169" s="57"/>
      <c r="P169" s="57"/>
    </row>
    <row r="170" spans="1:16">
      <c r="A170" s="1"/>
      <c r="B170" s="26"/>
      <c r="C170" s="25"/>
      <c r="D170" s="25"/>
      <c r="E170" s="25">
        <f t="shared" si="9"/>
        <v>0</v>
      </c>
      <c r="F170" s="25"/>
      <c r="G170" s="25"/>
      <c r="H170" s="25"/>
      <c r="I170" s="25"/>
      <c r="J170" s="25"/>
      <c r="K170" s="57"/>
      <c r="L170" s="57"/>
      <c r="M170" s="57"/>
      <c r="N170" s="57"/>
      <c r="O170" s="57"/>
      <c r="P170" s="57"/>
    </row>
    <row r="171" spans="1:16">
      <c r="A171" s="1"/>
      <c r="B171" s="26"/>
      <c r="C171" s="25"/>
      <c r="D171" s="25"/>
      <c r="E171" s="25">
        <f t="shared" si="9"/>
        <v>0</v>
      </c>
      <c r="F171" s="25"/>
      <c r="G171" s="25"/>
      <c r="H171" s="25"/>
      <c r="I171" s="25"/>
      <c r="J171" s="25"/>
      <c r="K171" s="57"/>
      <c r="L171" s="57"/>
      <c r="M171" s="57"/>
      <c r="N171" s="57"/>
      <c r="O171" s="57"/>
      <c r="P171" s="57"/>
    </row>
    <row r="172" spans="1:16">
      <c r="A172" s="1"/>
      <c r="B172" s="26"/>
      <c r="C172" s="25"/>
      <c r="D172" s="25"/>
      <c r="E172" s="25">
        <f t="shared" si="9"/>
        <v>0</v>
      </c>
      <c r="F172" s="25"/>
      <c r="G172" s="25"/>
      <c r="H172" s="25"/>
      <c r="I172" s="25"/>
      <c r="J172" s="25"/>
      <c r="K172" s="57"/>
      <c r="L172" s="57"/>
      <c r="M172" s="57"/>
      <c r="N172" s="57"/>
      <c r="O172" s="57"/>
      <c r="P172" s="57"/>
    </row>
    <row r="173" spans="1:16">
      <c r="A173" s="1"/>
      <c r="B173" s="26"/>
      <c r="C173" s="25"/>
      <c r="D173" s="25"/>
      <c r="E173" s="25">
        <f t="shared" si="9"/>
        <v>0</v>
      </c>
      <c r="F173" s="25"/>
      <c r="G173" s="25"/>
      <c r="H173" s="25"/>
      <c r="I173" s="25"/>
      <c r="J173" s="25"/>
      <c r="K173" s="57"/>
      <c r="L173" s="57"/>
      <c r="M173" s="57"/>
      <c r="N173" s="57"/>
      <c r="O173" s="57"/>
      <c r="P173" s="57"/>
    </row>
    <row r="174" spans="1:16">
      <c r="A174" s="1"/>
      <c r="B174" s="26"/>
      <c r="C174" s="25"/>
      <c r="D174" s="25"/>
      <c r="E174" s="25">
        <f t="shared" si="9"/>
        <v>0</v>
      </c>
      <c r="F174" s="25"/>
      <c r="G174" s="25"/>
      <c r="H174" s="25"/>
      <c r="I174" s="25"/>
      <c r="J174" s="25"/>
      <c r="K174" s="57"/>
      <c r="L174" s="57"/>
      <c r="M174" s="57"/>
      <c r="N174" s="57"/>
      <c r="O174" s="57"/>
      <c r="P174" s="57"/>
    </row>
    <row r="175" spans="1:16">
      <c r="A175" s="1"/>
      <c r="B175" s="26"/>
      <c r="C175" s="25"/>
      <c r="D175" s="25"/>
      <c r="E175" s="25">
        <f t="shared" si="9"/>
        <v>0</v>
      </c>
      <c r="F175" s="25"/>
      <c r="G175" s="25"/>
      <c r="H175" s="25"/>
      <c r="I175" s="25"/>
      <c r="J175" s="25"/>
      <c r="K175" s="57"/>
      <c r="L175" s="57"/>
      <c r="M175" s="57"/>
      <c r="N175" s="57"/>
      <c r="O175" s="57"/>
      <c r="P175" s="57"/>
    </row>
    <row r="176" spans="1:16">
      <c r="A176" s="1"/>
      <c r="B176" s="26"/>
      <c r="C176" s="25"/>
      <c r="D176" s="25"/>
      <c r="E176" s="25">
        <f t="shared" si="9"/>
        <v>0</v>
      </c>
      <c r="F176" s="25"/>
      <c r="G176" s="25"/>
      <c r="H176" s="25"/>
      <c r="I176" s="25"/>
      <c r="J176" s="25"/>
      <c r="K176" s="57"/>
      <c r="L176" s="57"/>
      <c r="M176" s="57"/>
      <c r="N176" s="57"/>
      <c r="O176" s="57"/>
      <c r="P176" s="57"/>
    </row>
    <row r="177" spans="1:16">
      <c r="A177" s="1"/>
      <c r="B177" s="26"/>
      <c r="C177" s="25"/>
      <c r="D177" s="25"/>
      <c r="E177" s="25">
        <f t="shared" si="9"/>
        <v>0</v>
      </c>
      <c r="F177" s="25"/>
      <c r="G177" s="25"/>
      <c r="H177" s="25"/>
      <c r="I177" s="25"/>
      <c r="J177" s="25"/>
      <c r="K177" s="57"/>
      <c r="L177" s="57"/>
      <c r="M177" s="57"/>
      <c r="N177" s="57"/>
      <c r="O177" s="57"/>
      <c r="P177" s="57"/>
    </row>
    <row r="178" spans="1:16">
      <c r="A178" s="1"/>
      <c r="B178" s="26"/>
      <c r="C178" s="25"/>
      <c r="D178" s="25"/>
      <c r="E178" s="25">
        <f t="shared" si="9"/>
        <v>0</v>
      </c>
      <c r="F178" s="25"/>
      <c r="G178" s="25"/>
      <c r="H178" s="25"/>
      <c r="I178" s="25"/>
      <c r="J178" s="25"/>
      <c r="K178" s="57"/>
      <c r="L178" s="57"/>
      <c r="M178" s="57"/>
      <c r="N178" s="57"/>
      <c r="O178" s="57"/>
      <c r="P178" s="57"/>
    </row>
    <row r="179" spans="1:16">
      <c r="A179" s="1"/>
      <c r="B179" s="26"/>
      <c r="C179" s="25"/>
      <c r="D179" s="25"/>
      <c r="E179" s="25">
        <f t="shared" si="9"/>
        <v>0</v>
      </c>
      <c r="F179" s="25"/>
      <c r="G179" s="25"/>
      <c r="H179" s="25"/>
      <c r="I179" s="25"/>
      <c r="J179" s="25"/>
      <c r="K179" s="57"/>
      <c r="L179" s="57"/>
      <c r="M179" s="57"/>
      <c r="N179" s="57"/>
      <c r="O179" s="57"/>
      <c r="P179" s="57"/>
    </row>
    <row r="180" spans="1:16">
      <c r="A180" s="1"/>
      <c r="B180" s="26"/>
      <c r="C180" s="25"/>
      <c r="D180" s="25"/>
      <c r="E180" s="25">
        <f t="shared" si="9"/>
        <v>0</v>
      </c>
      <c r="F180" s="25"/>
      <c r="G180" s="25"/>
      <c r="H180" s="25"/>
      <c r="I180" s="25"/>
      <c r="J180" s="25"/>
      <c r="K180" s="57"/>
      <c r="L180" s="57"/>
      <c r="M180" s="57"/>
      <c r="N180" s="57"/>
      <c r="O180" s="57"/>
      <c r="P180" s="57"/>
    </row>
  </sheetData>
  <mergeCells count="1">
    <mergeCell ref="L1:N1"/>
  </mergeCells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CÀLCUL QUANTITATS VOLUM</vt:lpstr>
      <vt:lpstr>Recollida dades VAIOC</vt:lpstr>
      <vt:lpstr>PLANTILLA</vt:lpstr>
      <vt:lpstr>DADES VOLUMS</vt:lpstr>
      <vt:lpstr>'Recollida dades VAIOC'!Área_de_impresión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Senmartí</dc:creator>
  <cp:lastModifiedBy>David Bernal</cp:lastModifiedBy>
  <cp:lastPrinted>2023-09-20T10:16:31Z</cp:lastPrinted>
  <dcterms:created xsi:type="dcterms:W3CDTF">2015-06-05T18:19:34Z</dcterms:created>
  <dcterms:modified xsi:type="dcterms:W3CDTF">2025-08-12T12:21:59Z</dcterms:modified>
</cp:coreProperties>
</file>